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432\Downloads\Metabolomics_GutLungAxis_re-pipeline\"/>
    </mc:Choice>
  </mc:AlternateContent>
  <xr:revisionPtr revIDLastSave="0" documentId="13_ncr:1_{F802F766-1EA9-4137-BE47-AB8E0A731BFD}" xr6:coauthVersionLast="47" xr6:coauthVersionMax="47" xr10:uidLastSave="{00000000-0000-0000-0000-000000000000}"/>
  <bookViews>
    <workbookView xWindow="-98" yWindow="-98" windowWidth="21795" windowHeight="12975" activeTab="3" xr2:uid="{EDD92D1E-BC3A-4A8E-B790-3CC3BB4EEA7D}"/>
  </bookViews>
  <sheets>
    <sheet name="fecal_pos_1w" sheetId="1" r:id="rId1"/>
    <sheet name="fecal_pos_2w" sheetId="2" r:id="rId2"/>
    <sheet name="serum_pos_2w" sheetId="3" r:id="rId3"/>
    <sheet name="merged" sheetId="4" r:id="rId4"/>
  </sheets>
  <definedNames>
    <definedName name="_xlnm._FilterDatabase" localSheetId="0" hidden="1">fecal_pos_1w!$A$1:$H$48</definedName>
    <definedName name="_xlnm._FilterDatabase" localSheetId="1" hidden="1">fecal_pos_2w!$A$1:$H$50</definedName>
    <definedName name="_xlnm._FilterDatabase" localSheetId="3" hidden="1">merged!$A$3:$K$3</definedName>
    <definedName name="_xlnm._FilterDatabase" localSheetId="2" hidden="1">serum_pos_2w!$A$1:$H$17</definedName>
  </definedNames>
  <calcPr calcId="0"/>
</workbook>
</file>

<file path=xl/sharedStrings.xml><?xml version="1.0" encoding="utf-8"?>
<sst xmlns="http://schemas.openxmlformats.org/spreadsheetml/2006/main" count="267" uniqueCount="73">
  <si>
    <t>Pathway</t>
  </si>
  <si>
    <t>TotalCmpd</t>
  </si>
  <si>
    <t>Hits</t>
  </si>
  <si>
    <t>Impact</t>
  </si>
  <si>
    <t>Phenylalanine, tyrosine and tryptophan biosynthesis</t>
  </si>
  <si>
    <t>Phenylalanine metabolism</t>
  </si>
  <si>
    <t>One carbon pool by folate</t>
  </si>
  <si>
    <t>Steroid hormone biosynthesis</t>
  </si>
  <si>
    <t>Cysteine and methionine metabolism</t>
  </si>
  <si>
    <t>D-Amino acid metabolism</t>
  </si>
  <si>
    <t>Histidine metabolism</t>
  </si>
  <si>
    <t>Glycerophospholipid metabolism</t>
  </si>
  <si>
    <t>Arginine and proline metabolism</t>
  </si>
  <si>
    <t>Lysine degradation</t>
  </si>
  <si>
    <t>Primary bile acid biosynthesis</t>
  </si>
  <si>
    <t>Tryptophan metabolism</t>
  </si>
  <si>
    <t>Sphingolipid metabolism</t>
  </si>
  <si>
    <t>Glycine, serine and threonine metabolism</t>
  </si>
  <si>
    <t>Arachidonic acid metabolism</t>
  </si>
  <si>
    <t>Alanine, aspartate and glutamate metabolism</t>
  </si>
  <si>
    <t>Nitrogen metabolism</t>
  </si>
  <si>
    <t>Purine metabolism</t>
  </si>
  <si>
    <t>Drug metabolism - cytochrome P450</t>
  </si>
  <si>
    <t>Arginine biosynthesis</t>
  </si>
  <si>
    <t>Biosynthesis of unsaturated fatty acids</t>
  </si>
  <si>
    <t>alpha-Linolenic acid metabolism</t>
  </si>
  <si>
    <t>Steroid biosynthesis</t>
  </si>
  <si>
    <t>Vitamin B6 metabolism</t>
  </si>
  <si>
    <t>Valine, leucine and isoleucine biosynthesis</t>
  </si>
  <si>
    <t>Glyoxylate and dicarboxylate metabolism</t>
  </si>
  <si>
    <t>Terpenoid backbone biosynthesis</t>
  </si>
  <si>
    <t>Pantothenate and CoA biosynthesis</t>
  </si>
  <si>
    <t>Valine, leucine and isoleucine degradation</t>
  </si>
  <si>
    <t>Retinol metabolism</t>
  </si>
  <si>
    <t>Thiamine metabolism</t>
  </si>
  <si>
    <t>Pyrimidine metabolism</t>
  </si>
  <si>
    <t>Nicotinate and nicotinamide metabolism</t>
  </si>
  <si>
    <t>beta-Alanine metabolism</t>
  </si>
  <si>
    <t>Tyrosine metabolism</t>
  </si>
  <si>
    <t>Pyruvate metabolism</t>
  </si>
  <si>
    <t>Glycolysis or Gluconeogenesis</t>
  </si>
  <si>
    <t>Butanoate metabolism</t>
  </si>
  <si>
    <t>Porphyrin metabolism</t>
  </si>
  <si>
    <t>Folate biosynthesis</t>
  </si>
  <si>
    <t>Galactose metabolism</t>
  </si>
  <si>
    <t>Fatty acid degradation</t>
  </si>
  <si>
    <t>Metabolism of xenobiotics by cytochrome P450</t>
  </si>
  <si>
    <t>Glycosylphosphatidylinositol (GPI)-anchor biosynthesis</t>
  </si>
  <si>
    <t>Fatty acid biosynthesis</t>
  </si>
  <si>
    <t>Fatty acid elongation</t>
  </si>
  <si>
    <t>Glutathione metabolism</t>
  </si>
  <si>
    <t>Starch and sucrose metabolism</t>
  </si>
  <si>
    <t>Taurine and hypotaurine metabolism</t>
  </si>
  <si>
    <t>-LOG10(p)</t>
    <phoneticPr fontId="18" type="noConversion"/>
  </si>
  <si>
    <t>p-value</t>
    <phoneticPr fontId="18" type="noConversion"/>
  </si>
  <si>
    <t>q-value_BKY</t>
    <phoneticPr fontId="18" type="noConversion"/>
  </si>
  <si>
    <t>-LOG10(q_BKY)</t>
    <phoneticPr fontId="18" type="noConversion"/>
  </si>
  <si>
    <t>Pathway</t>
    <phoneticPr fontId="18" type="noConversion"/>
  </si>
  <si>
    <t>Alanine, aspartate and glutamate metabolism</t>
    <phoneticPr fontId="18" type="noConversion"/>
  </si>
  <si>
    <t>Impact</t>
    <phoneticPr fontId="18" type="noConversion"/>
  </si>
  <si>
    <t>Fecal - week 1</t>
    <phoneticPr fontId="18" type="noConversion"/>
  </si>
  <si>
    <t>Fecal - week 2</t>
    <phoneticPr fontId="18" type="noConversion"/>
  </si>
  <si>
    <t>Serum - week 2</t>
    <phoneticPr fontId="18" type="noConversion"/>
  </si>
  <si>
    <t>pval</t>
    <phoneticPr fontId="18" type="noConversion"/>
  </si>
  <si>
    <t>qval_BKY</t>
    <phoneticPr fontId="18" type="noConversion"/>
  </si>
  <si>
    <t>* p &lt;0.05 (5.00E-02) | ** p &lt;0.01 (1.00E-02) | *** p &lt;0.001 (1.00E-03) | **** p &lt;0.0001 (1.00E-04)</t>
    <phoneticPr fontId="18" type="noConversion"/>
  </si>
  <si>
    <t>****</t>
  </si>
  <si>
    <t>***</t>
  </si>
  <si>
    <t>***</t>
    <phoneticPr fontId="18" type="noConversion"/>
  </si>
  <si>
    <t>**</t>
  </si>
  <si>
    <t>**</t>
    <phoneticPr fontId="18" type="noConversion"/>
  </si>
  <si>
    <t>*</t>
  </si>
  <si>
    <t>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</si>
</sst>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C00000"/>
      <name val="Times New Roman"/>
      <family val="1"/>
    </font>
    <font>
      <sz val="11"/>
      <color rgb="FFC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0" fillId="33" borderId="0" xfId="0" applyFill="1">
      <alignment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11" fontId="19" fillId="33" borderId="15" xfId="0" applyNumberFormat="1" applyFont="1" applyFill="1" applyBorder="1">
      <alignment vertical="center"/>
    </xf>
    <xf numFmtId="11" fontId="19" fillId="33" borderId="0" xfId="0" applyNumberFormat="1" applyFont="1" applyFill="1">
      <alignment vertical="center"/>
    </xf>
    <xf numFmtId="176" fontId="19" fillId="33" borderId="16" xfId="0" applyNumberFormat="1" applyFont="1" applyFill="1" applyBorder="1">
      <alignment vertical="center"/>
    </xf>
    <xf numFmtId="11" fontId="19" fillId="33" borderId="20" xfId="0" applyNumberFormat="1" applyFont="1" applyFill="1" applyBorder="1">
      <alignment vertical="center"/>
    </xf>
    <xf numFmtId="11" fontId="19" fillId="33" borderId="21" xfId="0" applyNumberFormat="1" applyFont="1" applyFill="1" applyBorder="1">
      <alignment vertical="center"/>
    </xf>
    <xf numFmtId="176" fontId="19" fillId="33" borderId="22" xfId="0" applyNumberFormat="1" applyFont="1" applyFill="1" applyBorder="1">
      <alignment vertical="center"/>
    </xf>
    <xf numFmtId="176" fontId="19" fillId="33" borderId="0" xfId="0" applyNumberFormat="1" applyFont="1" applyFill="1">
      <alignment vertical="center"/>
    </xf>
    <xf numFmtId="176" fontId="19" fillId="33" borderId="21" xfId="0" applyNumberFormat="1" applyFont="1" applyFill="1" applyBorder="1">
      <alignment vertical="center"/>
    </xf>
    <xf numFmtId="0" fontId="20" fillId="33" borderId="10" xfId="0" applyFont="1" applyFill="1" applyBorder="1">
      <alignment vertical="center"/>
    </xf>
    <xf numFmtId="0" fontId="20" fillId="33" borderId="16" xfId="0" applyFont="1" applyFill="1" applyBorder="1">
      <alignment vertical="center"/>
    </xf>
    <xf numFmtId="0" fontId="20" fillId="33" borderId="22" xfId="0" applyFont="1" applyFill="1" applyBorder="1">
      <alignment vertical="center"/>
    </xf>
    <xf numFmtId="177" fontId="19" fillId="33" borderId="0" xfId="0" applyNumberFormat="1" applyFont="1" applyFill="1">
      <alignment vertical="center"/>
    </xf>
    <xf numFmtId="177" fontId="19" fillId="33" borderId="21" xfId="0" applyNumberFormat="1" applyFont="1" applyFill="1" applyBorder="1">
      <alignment vertical="center"/>
    </xf>
    <xf numFmtId="0" fontId="22" fillId="33" borderId="16" xfId="0" applyFont="1" applyFill="1" applyBorder="1">
      <alignment vertical="center"/>
    </xf>
    <xf numFmtId="11" fontId="23" fillId="33" borderId="15" xfId="0" applyNumberFormat="1" applyFont="1" applyFill="1" applyBorder="1">
      <alignment vertical="center"/>
    </xf>
    <xf numFmtId="11" fontId="23" fillId="33" borderId="0" xfId="0" applyNumberFormat="1" applyFont="1" applyFill="1">
      <alignment vertical="center"/>
    </xf>
    <xf numFmtId="176" fontId="23" fillId="33" borderId="16" xfId="0" applyNumberFormat="1" applyFont="1" applyFill="1" applyBorder="1">
      <alignment vertical="center"/>
    </xf>
    <xf numFmtId="176" fontId="23" fillId="33" borderId="0" xfId="0" applyNumberFormat="1" applyFont="1" applyFill="1">
      <alignment vertical="center"/>
    </xf>
    <xf numFmtId="0" fontId="22" fillId="33" borderId="10" xfId="0" applyFont="1" applyFill="1" applyBorder="1">
      <alignment vertical="center"/>
    </xf>
    <xf numFmtId="177" fontId="23" fillId="33" borderId="0" xfId="0" applyNumberFormat="1" applyFont="1" applyFill="1">
      <alignment vertical="center"/>
    </xf>
    <xf numFmtId="0" fontId="21" fillId="33" borderId="0" xfId="0" applyFont="1" applyFill="1">
      <alignment vertical="center"/>
    </xf>
    <xf numFmtId="0" fontId="20" fillId="33" borderId="17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0" fontId="20" fillId="33" borderId="2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7EF4-D794-472D-869E-143FFDC6CC75}">
  <dimension ref="A1:H48"/>
  <sheetViews>
    <sheetView zoomScale="80" zoomScaleNormal="80" workbookViewId="0"/>
  </sheetViews>
  <sheetFormatPr defaultRowHeight="16.899999999999999" x14ac:dyDescent="0.6"/>
  <cols>
    <col min="1" max="1" width="52.0625" bestFit="1" customWidth="1"/>
    <col min="2" max="2" width="13.0625" bestFit="1" customWidth="1"/>
    <col min="3" max="3" width="6.8125" bestFit="1" customWidth="1"/>
    <col min="4" max="4" width="11.5625" bestFit="1" customWidth="1"/>
    <col min="5" max="5" width="12.4375" bestFit="1" customWidth="1"/>
    <col min="6" max="6" width="9.3125" customWidth="1"/>
    <col min="7" max="7" width="14.1875" customWidth="1"/>
    <col min="8" max="8" width="16.9375" customWidth="1"/>
  </cols>
  <sheetData>
    <row r="1" spans="1:8" x14ac:dyDescent="0.6">
      <c r="A1" t="s">
        <v>57</v>
      </c>
      <c r="B1" t="s">
        <v>1</v>
      </c>
      <c r="C1" t="s">
        <v>2</v>
      </c>
      <c r="D1" t="s">
        <v>54</v>
      </c>
      <c r="E1" s="2" t="s">
        <v>53</v>
      </c>
      <c r="F1" t="s">
        <v>3</v>
      </c>
      <c r="G1" t="s">
        <v>55</v>
      </c>
      <c r="H1" s="2" t="s">
        <v>56</v>
      </c>
    </row>
    <row r="2" spans="1:8" x14ac:dyDescent="0.6">
      <c r="A2" t="s">
        <v>19</v>
      </c>
      <c r="B2">
        <v>28</v>
      </c>
      <c r="C2">
        <v>3</v>
      </c>
      <c r="D2">
        <v>1.1228E-4</v>
      </c>
      <c r="E2">
        <v>3.9497</v>
      </c>
      <c r="F2">
        <v>0.42068</v>
      </c>
      <c r="G2">
        <v>1.4637403291892499E-3</v>
      </c>
      <c r="H2">
        <v>2.8345359612576599</v>
      </c>
    </row>
    <row r="3" spans="1:8" x14ac:dyDescent="0.6">
      <c r="A3" t="s">
        <v>25</v>
      </c>
      <c r="B3">
        <v>13</v>
      </c>
      <c r="C3">
        <v>1</v>
      </c>
      <c r="D3">
        <v>2.6955000000000002E-4</v>
      </c>
      <c r="E3">
        <v>3.5693999999999999</v>
      </c>
      <c r="F3">
        <v>0.33333000000000002</v>
      </c>
      <c r="G3">
        <v>2.4868689956492399E-3</v>
      </c>
      <c r="H3">
        <v>2.6043470920783398</v>
      </c>
    </row>
    <row r="4" spans="1:8" x14ac:dyDescent="0.6">
      <c r="A4" t="s">
        <v>18</v>
      </c>
      <c r="B4">
        <v>43</v>
      </c>
      <c r="C4">
        <v>4</v>
      </c>
      <c r="D4">
        <v>1.0139E-4</v>
      </c>
      <c r="E4">
        <v>3.9940000000000002</v>
      </c>
      <c r="F4">
        <v>0.31296000000000002</v>
      </c>
      <c r="G4">
        <v>1.4098908155943299E-3</v>
      </c>
      <c r="H4">
        <v>2.8508145185651301</v>
      </c>
    </row>
    <row r="5" spans="1:8" x14ac:dyDescent="0.6">
      <c r="A5" t="s">
        <v>12</v>
      </c>
      <c r="B5">
        <v>36</v>
      </c>
      <c r="C5">
        <v>6</v>
      </c>
      <c r="D5" s="1">
        <v>2.4414E-5</v>
      </c>
      <c r="E5">
        <v>4.6124000000000001</v>
      </c>
      <c r="F5">
        <v>0.21279000000000001</v>
      </c>
      <c r="G5">
        <v>5.6581967932274699E-4</v>
      </c>
      <c r="H5">
        <v>3.2473219517665401</v>
      </c>
    </row>
    <row r="6" spans="1:8" x14ac:dyDescent="0.6">
      <c r="A6" t="s">
        <v>23</v>
      </c>
      <c r="B6">
        <v>14</v>
      </c>
      <c r="C6">
        <v>5</v>
      </c>
      <c r="D6">
        <v>1.7238999999999999E-4</v>
      </c>
      <c r="E6">
        <v>3.7635000000000001</v>
      </c>
      <c r="F6">
        <v>0.20213</v>
      </c>
      <c r="G6">
        <v>1.7978923786885299E-3</v>
      </c>
      <c r="H6">
        <v>2.74523630856529</v>
      </c>
    </row>
    <row r="7" spans="1:8" x14ac:dyDescent="0.6">
      <c r="A7" t="s">
        <v>37</v>
      </c>
      <c r="B7">
        <v>21</v>
      </c>
      <c r="C7">
        <v>3</v>
      </c>
      <c r="D7">
        <v>2.1608E-3</v>
      </c>
      <c r="E7">
        <v>2.6654</v>
      </c>
      <c r="F7">
        <v>0</v>
      </c>
      <c r="G7">
        <v>1.3256145783910499E-2</v>
      </c>
      <c r="H7">
        <v>1.8775827284269999</v>
      </c>
    </row>
    <row r="8" spans="1:8" x14ac:dyDescent="0.6">
      <c r="A8" t="s">
        <v>24</v>
      </c>
      <c r="B8">
        <v>36</v>
      </c>
      <c r="C8">
        <v>7</v>
      </c>
      <c r="D8">
        <v>2.1353999999999999E-4</v>
      </c>
      <c r="E8">
        <v>3.6705000000000001</v>
      </c>
      <c r="F8">
        <v>0</v>
      </c>
      <c r="G8">
        <v>2.1210043591366702E-3</v>
      </c>
      <c r="H8">
        <v>2.6734584389105698</v>
      </c>
    </row>
    <row r="9" spans="1:8" x14ac:dyDescent="0.6">
      <c r="A9" t="s">
        <v>41</v>
      </c>
      <c r="B9">
        <v>15</v>
      </c>
      <c r="C9">
        <v>2</v>
      </c>
      <c r="D9">
        <v>7.9965000000000001E-3</v>
      </c>
      <c r="E9">
        <v>2.0971000000000002</v>
      </c>
      <c r="F9">
        <v>0.11111</v>
      </c>
      <c r="G9">
        <v>4.3893272616810801E-2</v>
      </c>
      <c r="H9">
        <v>1.3576020376003</v>
      </c>
    </row>
    <row r="10" spans="1:8" x14ac:dyDescent="0.6">
      <c r="A10" t="s">
        <v>8</v>
      </c>
      <c r="B10">
        <v>33</v>
      </c>
      <c r="C10">
        <v>3</v>
      </c>
      <c r="D10" s="1">
        <v>4.8504000000000002E-6</v>
      </c>
      <c r="E10">
        <v>5.3141999999999996</v>
      </c>
      <c r="F10">
        <v>0.16808999999999999</v>
      </c>
      <c r="G10">
        <v>2.02343458288551E-4</v>
      </c>
      <c r="H10">
        <v>3.6939108316732501</v>
      </c>
    </row>
    <row r="11" spans="1:8" x14ac:dyDescent="0.6">
      <c r="A11" t="s">
        <v>9</v>
      </c>
      <c r="B11">
        <v>15</v>
      </c>
      <c r="C11">
        <v>2</v>
      </c>
      <c r="D11" s="1">
        <v>7.6474999999999992E-6</v>
      </c>
      <c r="E11">
        <v>5.1165000000000003</v>
      </c>
      <c r="F11">
        <v>0</v>
      </c>
      <c r="G11">
        <v>2.6585807309048299E-4</v>
      </c>
      <c r="H11">
        <v>3.5753501472910698</v>
      </c>
    </row>
    <row r="12" spans="1:8" x14ac:dyDescent="0.6">
      <c r="A12" t="s">
        <v>22</v>
      </c>
      <c r="B12">
        <v>27</v>
      </c>
      <c r="C12">
        <v>1</v>
      </c>
      <c r="D12">
        <v>1.4886000000000001E-4</v>
      </c>
      <c r="E12">
        <v>3.8271999999999999</v>
      </c>
      <c r="F12">
        <v>0</v>
      </c>
      <c r="G12">
        <v>1.6342031042927399E-3</v>
      </c>
      <c r="H12">
        <v>2.7866939688611199</v>
      </c>
    </row>
    <row r="13" spans="1:8" x14ac:dyDescent="0.6">
      <c r="A13" t="s">
        <v>48</v>
      </c>
      <c r="B13">
        <v>47</v>
      </c>
      <c r="C13">
        <v>1</v>
      </c>
      <c r="D13">
        <v>4.4478999999999998E-2</v>
      </c>
      <c r="E13">
        <v>1.3517999999999999</v>
      </c>
      <c r="F13">
        <v>1.473E-2</v>
      </c>
      <c r="G13">
        <v>0.20168741531887299</v>
      </c>
      <c r="H13">
        <v>0.69532119959626004</v>
      </c>
    </row>
    <row r="14" spans="1:8" x14ac:dyDescent="0.6">
      <c r="A14" t="s">
        <v>45</v>
      </c>
      <c r="B14">
        <v>39</v>
      </c>
      <c r="C14">
        <v>2</v>
      </c>
      <c r="D14">
        <v>3.6739000000000001E-2</v>
      </c>
      <c r="E14">
        <v>1.4349000000000001</v>
      </c>
      <c r="F14">
        <v>0</v>
      </c>
      <c r="G14">
        <v>0.182456633769603</v>
      </c>
      <c r="H14">
        <v>0.73884034190657799</v>
      </c>
    </row>
    <row r="15" spans="1:8" x14ac:dyDescent="0.6">
      <c r="A15" t="s">
        <v>49</v>
      </c>
      <c r="B15">
        <v>39</v>
      </c>
      <c r="C15">
        <v>1</v>
      </c>
      <c r="D15">
        <v>4.4478999999999998E-2</v>
      </c>
      <c r="E15">
        <v>1.3517999999999999</v>
      </c>
      <c r="F15">
        <v>0</v>
      </c>
      <c r="G15">
        <v>0.20168741531887299</v>
      </c>
      <c r="H15">
        <v>0.69532119959626004</v>
      </c>
    </row>
    <row r="16" spans="1:8" x14ac:dyDescent="0.6">
      <c r="A16" t="s">
        <v>43</v>
      </c>
      <c r="B16">
        <v>27</v>
      </c>
      <c r="C16">
        <v>1</v>
      </c>
      <c r="D16">
        <v>2.1493000000000002E-2</v>
      </c>
      <c r="E16">
        <v>1.6677</v>
      </c>
      <c r="F16">
        <v>0</v>
      </c>
      <c r="G16">
        <v>0.112077559299126</v>
      </c>
      <c r="H16">
        <v>0.95048133520321598</v>
      </c>
    </row>
    <row r="17" spans="1:8" x14ac:dyDescent="0.6">
      <c r="A17" t="s">
        <v>44</v>
      </c>
      <c r="B17">
        <v>27</v>
      </c>
      <c r="C17">
        <v>1</v>
      </c>
      <c r="D17">
        <v>2.3146E-2</v>
      </c>
      <c r="E17">
        <v>1.6355</v>
      </c>
      <c r="F17">
        <v>3.1879999999999999E-2</v>
      </c>
      <c r="G17">
        <v>0.117753468799828</v>
      </c>
      <c r="H17">
        <v>0.92902629049686103</v>
      </c>
    </row>
    <row r="18" spans="1:8" x14ac:dyDescent="0.6">
      <c r="A18" t="s">
        <v>50</v>
      </c>
      <c r="B18">
        <v>28</v>
      </c>
      <c r="C18">
        <v>3</v>
      </c>
      <c r="D18">
        <v>8.0142000000000005E-2</v>
      </c>
      <c r="E18">
        <v>1.0961000000000001</v>
      </c>
      <c r="F18">
        <v>4.9669999999999999E-2</v>
      </c>
      <c r="G18">
        <v>0.35566729820398901</v>
      </c>
      <c r="H18">
        <v>0.44895606414355999</v>
      </c>
    </row>
    <row r="19" spans="1:8" x14ac:dyDescent="0.6">
      <c r="A19" t="s">
        <v>11</v>
      </c>
      <c r="B19">
        <v>36</v>
      </c>
      <c r="C19">
        <v>3</v>
      </c>
      <c r="D19" s="1">
        <v>1.3823E-5</v>
      </c>
      <c r="E19">
        <v>4.8593999999999999</v>
      </c>
      <c r="F19">
        <v>4.308E-2</v>
      </c>
      <c r="G19">
        <v>3.6040759833243702E-4</v>
      </c>
      <c r="H19">
        <v>3.4432060615357498</v>
      </c>
    </row>
    <row r="20" spans="1:8" x14ac:dyDescent="0.6">
      <c r="A20" t="s">
        <v>17</v>
      </c>
      <c r="B20">
        <v>34</v>
      </c>
      <c r="C20">
        <v>5</v>
      </c>
      <c r="D20" s="1">
        <v>6.6787999999999998E-5</v>
      </c>
      <c r="E20">
        <v>4.1753</v>
      </c>
      <c r="F20">
        <v>0.22838</v>
      </c>
      <c r="G20">
        <v>9.9506630470651693E-4</v>
      </c>
      <c r="H20">
        <v>3.00214797974798</v>
      </c>
    </row>
    <row r="21" spans="1:8" x14ac:dyDescent="0.6">
      <c r="A21" t="s">
        <v>40</v>
      </c>
      <c r="B21">
        <v>26</v>
      </c>
      <c r="C21">
        <v>1</v>
      </c>
      <c r="D21">
        <v>5.2525000000000002E-3</v>
      </c>
      <c r="E21">
        <v>2.2795999999999998</v>
      </c>
      <c r="F21">
        <v>2.8309999999999998E-2</v>
      </c>
      <c r="G21">
        <v>2.96105145594182E-2</v>
      </c>
      <c r="H21">
        <v>1.5285540455531399</v>
      </c>
    </row>
    <row r="22" spans="1:8" x14ac:dyDescent="0.6">
      <c r="A22" t="s">
        <v>47</v>
      </c>
      <c r="B22">
        <v>32</v>
      </c>
      <c r="C22">
        <v>1</v>
      </c>
      <c r="D22">
        <v>4.4478999999999998E-2</v>
      </c>
      <c r="E22">
        <v>1.3517999999999999</v>
      </c>
      <c r="F22">
        <v>3.9469999999999998E-2</v>
      </c>
      <c r="G22">
        <v>0.20168741531887299</v>
      </c>
      <c r="H22">
        <v>0.69532119959626004</v>
      </c>
    </row>
    <row r="23" spans="1:8" x14ac:dyDescent="0.6">
      <c r="A23" t="s">
        <v>29</v>
      </c>
      <c r="B23">
        <v>32</v>
      </c>
      <c r="C23">
        <v>3</v>
      </c>
      <c r="D23">
        <v>6.4705999999999997E-4</v>
      </c>
      <c r="E23">
        <v>3.1890999999999998</v>
      </c>
      <c r="F23">
        <v>2.6669999999999999E-2</v>
      </c>
      <c r="G23">
        <v>5.1910214431240397E-3</v>
      </c>
      <c r="H23">
        <v>2.2847471771293901</v>
      </c>
    </row>
    <row r="24" spans="1:8" x14ac:dyDescent="0.6">
      <c r="A24" t="s">
        <v>10</v>
      </c>
      <c r="B24">
        <v>16</v>
      </c>
      <c r="C24">
        <v>6</v>
      </c>
      <c r="D24" s="1">
        <v>9.6899000000000002E-6</v>
      </c>
      <c r="E24">
        <v>5.0137</v>
      </c>
      <c r="F24">
        <v>0.58196000000000003</v>
      </c>
      <c r="G24">
        <v>2.8873728771562803E-4</v>
      </c>
      <c r="H24">
        <v>3.5394971274339602</v>
      </c>
    </row>
    <row r="25" spans="1:8" x14ac:dyDescent="0.6">
      <c r="A25" t="s">
        <v>13</v>
      </c>
      <c r="B25">
        <v>30</v>
      </c>
      <c r="C25">
        <v>5</v>
      </c>
      <c r="D25" s="1">
        <v>3.4504E-5</v>
      </c>
      <c r="E25">
        <v>4.4621000000000004</v>
      </c>
      <c r="F25">
        <v>3.2710000000000003E-2</v>
      </c>
      <c r="G25">
        <v>7.1969927065687102E-4</v>
      </c>
      <c r="H25">
        <v>3.1428489374262401</v>
      </c>
    </row>
    <row r="26" spans="1:8" x14ac:dyDescent="0.6">
      <c r="A26" t="s">
        <v>46</v>
      </c>
      <c r="B26">
        <v>64</v>
      </c>
      <c r="C26">
        <v>1</v>
      </c>
      <c r="D26">
        <v>4.0594999999999999E-2</v>
      </c>
      <c r="E26">
        <v>1.3915</v>
      </c>
      <c r="F26">
        <v>4.965E-2</v>
      </c>
      <c r="G26">
        <v>0.19691813212297399</v>
      </c>
      <c r="H26">
        <v>0.705714292402292</v>
      </c>
    </row>
    <row r="27" spans="1:8" x14ac:dyDescent="0.6">
      <c r="A27" t="s">
        <v>36</v>
      </c>
      <c r="B27">
        <v>15</v>
      </c>
      <c r="C27">
        <v>3</v>
      </c>
      <c r="D27">
        <v>2.1064E-3</v>
      </c>
      <c r="E27">
        <v>2.6764999999999999</v>
      </c>
      <c r="F27">
        <v>0</v>
      </c>
      <c r="G27">
        <v>1.3256145783910499E-2</v>
      </c>
      <c r="H27">
        <v>1.8775827284269999</v>
      </c>
    </row>
    <row r="28" spans="1:8" x14ac:dyDescent="0.6">
      <c r="A28" t="s">
        <v>20</v>
      </c>
      <c r="B28">
        <v>6</v>
      </c>
      <c r="C28">
        <v>1</v>
      </c>
      <c r="D28">
        <v>1.3260999999999999E-4</v>
      </c>
      <c r="E28">
        <v>3.8774000000000002</v>
      </c>
      <c r="F28">
        <v>0</v>
      </c>
      <c r="G28">
        <v>1.61177724250432E-3</v>
      </c>
      <c r="H28">
        <v>2.7926949805433701</v>
      </c>
    </row>
    <row r="29" spans="1:8" x14ac:dyDescent="0.6">
      <c r="A29" t="s">
        <v>6</v>
      </c>
      <c r="B29">
        <v>26</v>
      </c>
      <c r="C29">
        <v>5</v>
      </c>
      <c r="D29" s="1">
        <v>1.0435E-6</v>
      </c>
      <c r="E29">
        <v>5.9814999999999996</v>
      </c>
      <c r="F29">
        <v>6.9309999999999997E-2</v>
      </c>
      <c r="G29" s="1">
        <v>7.2552572545255204E-5</v>
      </c>
      <c r="H29">
        <v>4.1393471838823297</v>
      </c>
    </row>
    <row r="30" spans="1:8" x14ac:dyDescent="0.6">
      <c r="A30" t="s">
        <v>31</v>
      </c>
      <c r="B30">
        <v>20</v>
      </c>
      <c r="C30">
        <v>4</v>
      </c>
      <c r="D30">
        <v>9.8817000000000002E-4</v>
      </c>
      <c r="E30">
        <v>3.0051999999999999</v>
      </c>
      <c r="F30">
        <v>6.7999999999999996E-3</v>
      </c>
      <c r="G30">
        <v>7.3613124387752202E-3</v>
      </c>
      <c r="H30">
        <v>2.1330447489635902</v>
      </c>
    </row>
    <row r="31" spans="1:8" x14ac:dyDescent="0.6">
      <c r="A31" t="s">
        <v>5</v>
      </c>
      <c r="B31">
        <v>10</v>
      </c>
      <c r="C31">
        <v>1</v>
      </c>
      <c r="D31" s="1">
        <v>6.2231000000000002E-7</v>
      </c>
      <c r="E31">
        <v>6.2060000000000004</v>
      </c>
      <c r="F31">
        <v>0.35714000000000001</v>
      </c>
      <c r="G31" s="1">
        <v>6.4902048041165904E-5</v>
      </c>
      <c r="H31">
        <v>4.1877415984393398</v>
      </c>
    </row>
    <row r="32" spans="1:8" x14ac:dyDescent="0.6">
      <c r="A32" t="s">
        <v>4</v>
      </c>
      <c r="B32">
        <v>4</v>
      </c>
      <c r="C32">
        <v>1</v>
      </c>
      <c r="D32" s="1">
        <v>6.2231000000000002E-7</v>
      </c>
      <c r="E32">
        <v>6.2060000000000004</v>
      </c>
      <c r="F32">
        <v>0.5</v>
      </c>
      <c r="G32" s="1">
        <v>6.4902048041165904E-5</v>
      </c>
      <c r="H32">
        <v>4.1877415984393398</v>
      </c>
    </row>
    <row r="33" spans="1:8" x14ac:dyDescent="0.6">
      <c r="A33" t="s">
        <v>42</v>
      </c>
      <c r="B33">
        <v>31</v>
      </c>
      <c r="C33">
        <v>4</v>
      </c>
      <c r="D33">
        <v>8.7294E-3</v>
      </c>
      <c r="E33">
        <v>2.0590000000000002</v>
      </c>
      <c r="F33">
        <v>0.17080999999999999</v>
      </c>
      <c r="G33">
        <v>4.6687584444108199E-2</v>
      </c>
      <c r="H33">
        <v>1.3307985953288399</v>
      </c>
    </row>
    <row r="34" spans="1:8" x14ac:dyDescent="0.6">
      <c r="A34" t="s">
        <v>14</v>
      </c>
      <c r="B34">
        <v>46</v>
      </c>
      <c r="C34">
        <v>9</v>
      </c>
      <c r="D34" s="1">
        <v>4.9509999999999999E-5</v>
      </c>
      <c r="E34">
        <v>4.3052999999999999</v>
      </c>
      <c r="F34">
        <v>0.15465999999999999</v>
      </c>
      <c r="G34">
        <v>9.3881897461748102E-4</v>
      </c>
      <c r="H34">
        <v>3.0274181413908798</v>
      </c>
    </row>
    <row r="35" spans="1:8" x14ac:dyDescent="0.6">
      <c r="A35" t="s">
        <v>21</v>
      </c>
      <c r="B35">
        <v>71</v>
      </c>
      <c r="C35">
        <v>5</v>
      </c>
      <c r="D35">
        <v>1.3909E-4</v>
      </c>
      <c r="E35">
        <v>3.8567</v>
      </c>
      <c r="F35">
        <v>5.5230000000000001E-2</v>
      </c>
      <c r="G35">
        <v>1.61177724250432E-3</v>
      </c>
      <c r="H35">
        <v>2.7926949805433701</v>
      </c>
    </row>
    <row r="36" spans="1:8" x14ac:dyDescent="0.6">
      <c r="A36" t="s">
        <v>35</v>
      </c>
      <c r="B36">
        <v>39</v>
      </c>
      <c r="C36">
        <v>4</v>
      </c>
      <c r="D36">
        <v>2.1007E-3</v>
      </c>
      <c r="E36">
        <v>2.6776</v>
      </c>
      <c r="F36">
        <v>0.12179</v>
      </c>
      <c r="G36">
        <v>1.3256145783910499E-2</v>
      </c>
      <c r="H36">
        <v>1.8775827284269999</v>
      </c>
    </row>
    <row r="37" spans="1:8" x14ac:dyDescent="0.6">
      <c r="A37" t="s">
        <v>39</v>
      </c>
      <c r="B37">
        <v>23</v>
      </c>
      <c r="C37">
        <v>1</v>
      </c>
      <c r="D37">
        <v>5.2525000000000002E-3</v>
      </c>
      <c r="E37">
        <v>2.2795999999999998</v>
      </c>
      <c r="F37">
        <v>7.9509999999999997E-2</v>
      </c>
      <c r="G37">
        <v>2.96105145594182E-2</v>
      </c>
      <c r="H37">
        <v>1.5285540455531399</v>
      </c>
    </row>
    <row r="38" spans="1:8" x14ac:dyDescent="0.6">
      <c r="A38" t="s">
        <v>33</v>
      </c>
      <c r="B38">
        <v>16</v>
      </c>
      <c r="C38">
        <v>1</v>
      </c>
      <c r="D38">
        <v>1.4609E-3</v>
      </c>
      <c r="E38">
        <v>2.8353999999999999</v>
      </c>
      <c r="F38">
        <v>0.22753999999999999</v>
      </c>
      <c r="G38">
        <v>1.01573601563357E-2</v>
      </c>
      <c r="H38">
        <v>1.99321914820409</v>
      </c>
    </row>
    <row r="39" spans="1:8" x14ac:dyDescent="0.6">
      <c r="A39" t="s">
        <v>16</v>
      </c>
      <c r="B39">
        <v>32</v>
      </c>
      <c r="C39">
        <v>4</v>
      </c>
      <c r="D39" s="1">
        <v>6.3145999999999995E-5</v>
      </c>
      <c r="E39">
        <v>4.1997</v>
      </c>
      <c r="F39">
        <v>0.14029</v>
      </c>
      <c r="G39">
        <v>9.9506630470651693E-4</v>
      </c>
      <c r="H39">
        <v>3.00214797974798</v>
      </c>
    </row>
    <row r="40" spans="1:8" x14ac:dyDescent="0.6">
      <c r="A40" t="s">
        <v>26</v>
      </c>
      <c r="B40">
        <v>41</v>
      </c>
      <c r="C40">
        <v>5</v>
      </c>
      <c r="D40">
        <v>2.7421999999999999E-4</v>
      </c>
      <c r="E40">
        <v>3.5619000000000001</v>
      </c>
      <c r="F40">
        <v>0.12388</v>
      </c>
      <c r="G40">
        <v>2.4868689956492399E-3</v>
      </c>
      <c r="H40">
        <v>2.6043470920783398</v>
      </c>
    </row>
    <row r="41" spans="1:8" x14ac:dyDescent="0.6">
      <c r="A41" t="s">
        <v>7</v>
      </c>
      <c r="B41">
        <v>79</v>
      </c>
      <c r="C41">
        <v>10</v>
      </c>
      <c r="D41" s="1">
        <v>2.9299999999999999E-6</v>
      </c>
      <c r="E41">
        <v>5.5331000000000001</v>
      </c>
      <c r="F41">
        <v>0.2772</v>
      </c>
      <c r="G41">
        <v>1.5278800016118701E-4</v>
      </c>
      <c r="H41">
        <v>3.8159107535379899</v>
      </c>
    </row>
    <row r="42" spans="1:8" x14ac:dyDescent="0.6">
      <c r="A42" t="s">
        <v>30</v>
      </c>
      <c r="B42">
        <v>18</v>
      </c>
      <c r="C42">
        <v>1</v>
      </c>
      <c r="D42">
        <v>8.5837000000000001E-4</v>
      </c>
      <c r="E42">
        <v>3.0663</v>
      </c>
      <c r="F42">
        <v>0</v>
      </c>
      <c r="G42">
        <v>6.6312039286238302E-3</v>
      </c>
      <c r="H42">
        <v>2.1784076160761998</v>
      </c>
    </row>
    <row r="43" spans="1:8" x14ac:dyDescent="0.6">
      <c r="A43" t="s">
        <v>34</v>
      </c>
      <c r="B43">
        <v>7</v>
      </c>
      <c r="C43">
        <v>1</v>
      </c>
      <c r="D43">
        <v>1.6061999999999999E-3</v>
      </c>
      <c r="E43">
        <v>2.7942</v>
      </c>
      <c r="F43">
        <v>0</v>
      </c>
      <c r="G43">
        <v>1.0807358179407599E-2</v>
      </c>
      <c r="H43">
        <v>1.9662804548278401</v>
      </c>
    </row>
    <row r="44" spans="1:8" x14ac:dyDescent="0.6">
      <c r="A44" t="s">
        <v>15</v>
      </c>
      <c r="B44">
        <v>41</v>
      </c>
      <c r="C44">
        <v>8</v>
      </c>
      <c r="D44" s="1">
        <v>5.7349999999999998E-5</v>
      </c>
      <c r="E44">
        <v>4.2415000000000003</v>
      </c>
      <c r="F44">
        <v>0.44886999999999999</v>
      </c>
      <c r="G44">
        <v>9.9506630470651693E-4</v>
      </c>
      <c r="H44">
        <v>3.00214797974798</v>
      </c>
    </row>
    <row r="45" spans="1:8" x14ac:dyDescent="0.6">
      <c r="A45" t="s">
        <v>38</v>
      </c>
      <c r="B45">
        <v>42</v>
      </c>
      <c r="C45">
        <v>3</v>
      </c>
      <c r="D45">
        <v>3.1251E-3</v>
      </c>
      <c r="E45">
        <v>2.5051000000000001</v>
      </c>
      <c r="F45">
        <v>0.11085</v>
      </c>
      <c r="G45">
        <v>1.8624194219550399E-2</v>
      </c>
      <c r="H45">
        <v>1.7299225080332501</v>
      </c>
    </row>
    <row r="46" spans="1:8" x14ac:dyDescent="0.6">
      <c r="A46" t="s">
        <v>28</v>
      </c>
      <c r="B46">
        <v>8</v>
      </c>
      <c r="C46">
        <v>4</v>
      </c>
      <c r="D46">
        <v>6.0265999999999998E-4</v>
      </c>
      <c r="E46">
        <v>3.2199</v>
      </c>
      <c r="F46">
        <v>0</v>
      </c>
      <c r="G46">
        <v>5.0282165830520496E-3</v>
      </c>
      <c r="H46">
        <v>2.2985860239855702</v>
      </c>
    </row>
    <row r="47" spans="1:8" x14ac:dyDescent="0.6">
      <c r="A47" t="s">
        <v>32</v>
      </c>
      <c r="B47">
        <v>40</v>
      </c>
      <c r="C47">
        <v>4</v>
      </c>
      <c r="D47">
        <v>1.3202000000000001E-3</v>
      </c>
      <c r="E47">
        <v>2.8794</v>
      </c>
      <c r="F47">
        <v>0</v>
      </c>
      <c r="G47">
        <v>9.4956204690031104E-3</v>
      </c>
      <c r="H47">
        <v>2.0224766520475299</v>
      </c>
    </row>
    <row r="48" spans="1:8" x14ac:dyDescent="0.6">
      <c r="A48" t="s">
        <v>27</v>
      </c>
      <c r="B48">
        <v>9</v>
      </c>
      <c r="C48">
        <v>3</v>
      </c>
      <c r="D48">
        <v>4.0384999999999998E-4</v>
      </c>
      <c r="E48">
        <v>3.3938000000000001</v>
      </c>
      <c r="F48">
        <v>0.56862999999999997</v>
      </c>
      <c r="G48">
        <v>3.50986540757083E-3</v>
      </c>
      <c r="H48">
        <v>2.4547095370583998</v>
      </c>
    </row>
  </sheetData>
  <autoFilter ref="A1:H48" xr:uid="{96257EF4-D794-472D-869E-143FFDC6CC75}">
    <sortState xmlns:xlrd2="http://schemas.microsoft.com/office/spreadsheetml/2017/richdata2" ref="A2:H48">
      <sortCondition ref="A1:A48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89DE-3EE1-42A8-9715-DE799BCF2DA5}">
  <dimension ref="A1:H50"/>
  <sheetViews>
    <sheetView zoomScale="80" zoomScaleNormal="80" workbookViewId="0"/>
  </sheetViews>
  <sheetFormatPr defaultRowHeight="16.899999999999999" x14ac:dyDescent="0.6"/>
  <cols>
    <col min="1" max="1" width="52.0625" customWidth="1"/>
    <col min="2" max="2" width="13.0625" bestFit="1" customWidth="1"/>
    <col min="3" max="3" width="6.8125" bestFit="1" customWidth="1"/>
    <col min="4" max="4" width="11.5625" bestFit="1" customWidth="1"/>
    <col min="5" max="5" width="12.4375" bestFit="1" customWidth="1"/>
    <col min="6" max="6" width="9.3125" bestFit="1" customWidth="1"/>
    <col min="7" max="7" width="14.1875" customWidth="1"/>
    <col min="8" max="8" width="16.9375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54</v>
      </c>
      <c r="E1" s="2" t="s">
        <v>53</v>
      </c>
      <c r="F1" t="s">
        <v>3</v>
      </c>
      <c r="G1" t="s">
        <v>55</v>
      </c>
      <c r="H1" s="2" t="s">
        <v>56</v>
      </c>
    </row>
    <row r="2" spans="1:8" x14ac:dyDescent="0.6">
      <c r="A2" t="s">
        <v>58</v>
      </c>
      <c r="B2">
        <v>28</v>
      </c>
      <c r="C2">
        <v>3</v>
      </c>
      <c r="D2" s="1">
        <v>7.0267E-6</v>
      </c>
      <c r="E2">
        <v>5.1532999999999998</v>
      </c>
      <c r="F2">
        <v>0.42068</v>
      </c>
      <c r="G2">
        <v>1.28518964615927E-4</v>
      </c>
      <c r="H2">
        <v>3.89103278190204</v>
      </c>
    </row>
    <row r="3" spans="1:8" x14ac:dyDescent="0.6">
      <c r="A3" t="s">
        <v>25</v>
      </c>
      <c r="B3">
        <v>13</v>
      </c>
      <c r="C3">
        <v>1</v>
      </c>
      <c r="D3" s="1">
        <v>4.9636999999999999E-5</v>
      </c>
      <c r="E3">
        <v>4.3041999999999998</v>
      </c>
      <c r="F3">
        <v>0.33333000000000002</v>
      </c>
      <c r="G3">
        <v>5.44719072677711E-4</v>
      </c>
      <c r="H3">
        <v>3.26382741816606</v>
      </c>
    </row>
    <row r="4" spans="1:8" x14ac:dyDescent="0.6">
      <c r="A4" t="s">
        <v>18</v>
      </c>
      <c r="B4">
        <v>43</v>
      </c>
      <c r="C4">
        <v>4</v>
      </c>
      <c r="D4">
        <v>1.2756E-3</v>
      </c>
      <c r="E4">
        <v>2.8942999999999999</v>
      </c>
      <c r="F4">
        <v>0.31296000000000002</v>
      </c>
      <c r="G4">
        <v>7.9991440614022198E-3</v>
      </c>
      <c r="H4">
        <v>2.09695648167023</v>
      </c>
    </row>
    <row r="5" spans="1:8" x14ac:dyDescent="0.6">
      <c r="A5" t="s">
        <v>12</v>
      </c>
      <c r="B5">
        <v>36</v>
      </c>
      <c r="C5">
        <v>5</v>
      </c>
      <c r="D5" s="1">
        <v>8.4289000000000005E-7</v>
      </c>
      <c r="E5">
        <v>6.0742000000000003</v>
      </c>
      <c r="F5">
        <v>0.21279000000000001</v>
      </c>
      <c r="G5" s="1">
        <v>3.6999678398720001E-5</v>
      </c>
      <c r="H5">
        <v>4.4318020508051204</v>
      </c>
    </row>
    <row r="6" spans="1:8" x14ac:dyDescent="0.6">
      <c r="A6" t="s">
        <v>23</v>
      </c>
      <c r="B6">
        <v>14</v>
      </c>
      <c r="C6">
        <v>5</v>
      </c>
      <c r="D6">
        <v>1.228E-4</v>
      </c>
      <c r="E6">
        <v>3.9108000000000001</v>
      </c>
      <c r="F6">
        <v>0.20213</v>
      </c>
      <c r="G6">
        <v>1.0780909744718299E-3</v>
      </c>
      <c r="H6">
        <v>2.9673445897577602</v>
      </c>
    </row>
    <row r="7" spans="1:8" x14ac:dyDescent="0.6">
      <c r="A7" t="s">
        <v>37</v>
      </c>
      <c r="B7">
        <v>21</v>
      </c>
      <c r="C7">
        <v>3</v>
      </c>
      <c r="D7" s="1">
        <v>1.4222999999999999E-5</v>
      </c>
      <c r="E7">
        <v>4.8470000000000004</v>
      </c>
      <c r="F7">
        <v>0</v>
      </c>
      <c r="G7">
        <v>2.08111942588394E-4</v>
      </c>
      <c r="H7">
        <v>3.6817029969079398</v>
      </c>
    </row>
    <row r="8" spans="1:8" x14ac:dyDescent="0.6">
      <c r="A8" t="s">
        <v>24</v>
      </c>
      <c r="B8">
        <v>36</v>
      </c>
      <c r="C8">
        <v>7</v>
      </c>
      <c r="D8" s="1">
        <v>1.1282E-5</v>
      </c>
      <c r="E8">
        <v>4.9476000000000004</v>
      </c>
      <c r="F8">
        <v>0</v>
      </c>
      <c r="G8">
        <v>1.7687038119461399E-4</v>
      </c>
      <c r="H8">
        <v>3.7523448881797399</v>
      </c>
    </row>
    <row r="9" spans="1:8" x14ac:dyDescent="0.6">
      <c r="A9" t="s">
        <v>41</v>
      </c>
      <c r="B9">
        <v>15</v>
      </c>
      <c r="C9">
        <v>2</v>
      </c>
      <c r="D9">
        <v>3.2902000000000001E-2</v>
      </c>
      <c r="E9">
        <v>1.4827999999999999</v>
      </c>
      <c r="F9">
        <v>0.11111</v>
      </c>
      <c r="G9">
        <v>0.16047479751208901</v>
      </c>
      <c r="H9">
        <v>0.79459316363831101</v>
      </c>
    </row>
    <row r="10" spans="1:8" x14ac:dyDescent="0.6">
      <c r="A10" t="s">
        <v>8</v>
      </c>
      <c r="B10">
        <v>33</v>
      </c>
      <c r="C10">
        <v>4</v>
      </c>
      <c r="D10">
        <v>1.0781999999999999E-4</v>
      </c>
      <c r="E10">
        <v>3.9672999999999998</v>
      </c>
      <c r="F10">
        <v>0.18898000000000001</v>
      </c>
      <c r="G10">
        <v>9.8601866913980191E-4</v>
      </c>
      <c r="H10">
        <v>3.0061148621098601</v>
      </c>
    </row>
    <row r="11" spans="1:8" x14ac:dyDescent="0.6">
      <c r="A11" t="s">
        <v>9</v>
      </c>
      <c r="B11">
        <v>15</v>
      </c>
      <c r="C11">
        <v>1</v>
      </c>
      <c r="D11" s="1">
        <v>2.2724000000000001E-5</v>
      </c>
      <c r="E11">
        <v>4.6435000000000004</v>
      </c>
      <c r="F11">
        <v>0</v>
      </c>
      <c r="G11">
        <v>2.9338162607656998E-4</v>
      </c>
      <c r="H11">
        <v>3.5325670886639302</v>
      </c>
    </row>
    <row r="12" spans="1:8" x14ac:dyDescent="0.6">
      <c r="A12" t="s">
        <v>22</v>
      </c>
      <c r="B12">
        <v>27</v>
      </c>
      <c r="C12">
        <v>2</v>
      </c>
      <c r="D12">
        <v>3.5038000000000002E-4</v>
      </c>
      <c r="E12">
        <v>3.4554999999999998</v>
      </c>
      <c r="F12">
        <v>0</v>
      </c>
      <c r="G12">
        <v>2.4807023985725599E-3</v>
      </c>
      <c r="H12">
        <v>2.6054253334343902</v>
      </c>
    </row>
    <row r="13" spans="1:8" x14ac:dyDescent="0.6">
      <c r="A13" t="s">
        <v>48</v>
      </c>
      <c r="B13">
        <v>47</v>
      </c>
      <c r="C13">
        <v>1</v>
      </c>
      <c r="D13">
        <v>2.0302000000000001E-2</v>
      </c>
      <c r="E13">
        <v>1.6924999999999999</v>
      </c>
      <c r="F13">
        <v>1.473E-2</v>
      </c>
      <c r="G13">
        <v>0.10362568632928899</v>
      </c>
      <c r="H13">
        <v>0.98453258003119004</v>
      </c>
    </row>
    <row r="14" spans="1:8" x14ac:dyDescent="0.6">
      <c r="A14" t="s">
        <v>45</v>
      </c>
      <c r="B14">
        <v>39</v>
      </c>
      <c r="C14">
        <v>2</v>
      </c>
      <c r="D14" s="1">
        <v>1.3016E-6</v>
      </c>
      <c r="E14">
        <v>5.8855000000000004</v>
      </c>
      <c r="F14">
        <v>0</v>
      </c>
      <c r="G14" s="1">
        <v>4.1892663767793603E-5</v>
      </c>
      <c r="H14">
        <v>4.3778620239101302</v>
      </c>
    </row>
    <row r="15" spans="1:8" x14ac:dyDescent="0.6">
      <c r="A15" t="s">
        <v>49</v>
      </c>
      <c r="B15">
        <v>39</v>
      </c>
      <c r="C15">
        <v>1</v>
      </c>
      <c r="D15">
        <v>2.0302000000000001E-2</v>
      </c>
      <c r="E15">
        <v>1.6924999999999999</v>
      </c>
      <c r="F15">
        <v>0</v>
      </c>
      <c r="G15">
        <v>0.10362568632928899</v>
      </c>
      <c r="H15">
        <v>0.98453258003119004</v>
      </c>
    </row>
    <row r="16" spans="1:8" x14ac:dyDescent="0.6">
      <c r="A16" t="s">
        <v>43</v>
      </c>
      <c r="B16">
        <v>27</v>
      </c>
      <c r="C16">
        <v>1</v>
      </c>
      <c r="D16">
        <v>0.14101</v>
      </c>
      <c r="E16">
        <v>0.85075999999999996</v>
      </c>
      <c r="F16">
        <v>0</v>
      </c>
      <c r="G16">
        <v>0.63161274475783202</v>
      </c>
      <c r="H16">
        <v>0.19954911532910699</v>
      </c>
    </row>
    <row r="17" spans="1:8" x14ac:dyDescent="0.6">
      <c r="A17" t="s">
        <v>44</v>
      </c>
      <c r="B17">
        <v>27</v>
      </c>
      <c r="C17">
        <v>1</v>
      </c>
      <c r="D17">
        <v>1.8974000000000001E-4</v>
      </c>
      <c r="E17">
        <v>3.7219000000000002</v>
      </c>
      <c r="F17">
        <v>3.1879999999999999E-2</v>
      </c>
      <c r="G17">
        <v>1.4914873381105E-3</v>
      </c>
      <c r="H17">
        <v>2.8263804292024099</v>
      </c>
    </row>
    <row r="18" spans="1:8" x14ac:dyDescent="0.6">
      <c r="A18" t="s">
        <v>50</v>
      </c>
      <c r="B18">
        <v>28</v>
      </c>
      <c r="C18">
        <v>2</v>
      </c>
      <c r="D18">
        <v>3.3849999999999999E-4</v>
      </c>
      <c r="E18">
        <v>3.4704000000000002</v>
      </c>
      <c r="F18">
        <v>2.6749999999999999E-2</v>
      </c>
      <c r="G18">
        <v>2.4764779781400298E-3</v>
      </c>
      <c r="H18">
        <v>2.60616552958937</v>
      </c>
    </row>
    <row r="19" spans="1:8" x14ac:dyDescent="0.6">
      <c r="A19" t="s">
        <v>11</v>
      </c>
      <c r="B19">
        <v>36</v>
      </c>
      <c r="C19">
        <v>3</v>
      </c>
      <c r="D19" s="1">
        <v>8.7746999999999999E-5</v>
      </c>
      <c r="E19">
        <v>4.0568</v>
      </c>
      <c r="F19">
        <v>4.308E-2</v>
      </c>
      <c r="G19">
        <v>9.1708593858558099E-4</v>
      </c>
      <c r="H19">
        <v>3.0375899654153402</v>
      </c>
    </row>
    <row r="20" spans="1:8" x14ac:dyDescent="0.6">
      <c r="A20" t="s">
        <v>17</v>
      </c>
      <c r="B20">
        <v>34</v>
      </c>
      <c r="C20">
        <v>5</v>
      </c>
      <c r="D20" s="1">
        <v>6.6590000000000003E-8</v>
      </c>
      <c r="E20">
        <v>7.1765999999999996</v>
      </c>
      <c r="F20">
        <v>0.22838</v>
      </c>
      <c r="G20" s="1">
        <v>7.3076219452442297E-6</v>
      </c>
      <c r="H20">
        <v>5.1362239286623099</v>
      </c>
    </row>
    <row r="21" spans="1:8" x14ac:dyDescent="0.6">
      <c r="A21" t="s">
        <v>40</v>
      </c>
      <c r="B21">
        <v>26</v>
      </c>
      <c r="C21">
        <v>1</v>
      </c>
      <c r="D21">
        <v>0.10561</v>
      </c>
      <c r="E21">
        <v>0.97629999999999995</v>
      </c>
      <c r="F21">
        <v>2.8309999999999998E-2</v>
      </c>
      <c r="G21">
        <v>0.48290406069307401</v>
      </c>
      <c r="H21">
        <v>0.316139142644425</v>
      </c>
    </row>
    <row r="22" spans="1:8" x14ac:dyDescent="0.6">
      <c r="A22" t="s">
        <v>47</v>
      </c>
      <c r="B22">
        <v>32</v>
      </c>
      <c r="C22">
        <v>1</v>
      </c>
      <c r="D22">
        <v>2.0302000000000001E-2</v>
      </c>
      <c r="E22">
        <v>1.6924999999999999</v>
      </c>
      <c r="F22">
        <v>3.9469999999999998E-2</v>
      </c>
      <c r="G22">
        <v>0.10362568632928899</v>
      </c>
      <c r="H22">
        <v>0.98453258003119004</v>
      </c>
    </row>
    <row r="23" spans="1:8" x14ac:dyDescent="0.6">
      <c r="A23" t="s">
        <v>29</v>
      </c>
      <c r="B23">
        <v>32</v>
      </c>
      <c r="C23">
        <v>3</v>
      </c>
      <c r="D23">
        <v>6.2449000000000003E-3</v>
      </c>
      <c r="E23">
        <v>2.2044999999999999</v>
      </c>
      <c r="F23">
        <v>2.6669999999999999E-2</v>
      </c>
      <c r="G23">
        <v>3.5144545678188199E-2</v>
      </c>
      <c r="H23">
        <v>1.45414206653803</v>
      </c>
    </row>
    <row r="24" spans="1:8" x14ac:dyDescent="0.6">
      <c r="A24" t="s">
        <v>10</v>
      </c>
      <c r="B24">
        <v>16</v>
      </c>
      <c r="C24">
        <v>5</v>
      </c>
      <c r="D24" s="1">
        <v>2.6001000000000001E-5</v>
      </c>
      <c r="E24">
        <v>4.585</v>
      </c>
      <c r="F24">
        <v>0.39344000000000001</v>
      </c>
      <c r="G24">
        <v>3.17040393449626E-4</v>
      </c>
      <c r="H24">
        <v>3.4988854017106599</v>
      </c>
    </row>
    <row r="25" spans="1:8" x14ac:dyDescent="0.6">
      <c r="A25" t="s">
        <v>13</v>
      </c>
      <c r="B25">
        <v>30</v>
      </c>
      <c r="C25">
        <v>5</v>
      </c>
      <c r="D25" s="1">
        <v>2.7866E-8</v>
      </c>
      <c r="E25">
        <v>7.5548999999999999</v>
      </c>
      <c r="F25">
        <v>3.2710000000000003E-2</v>
      </c>
      <c r="G25" s="1">
        <v>6.1160592619365001E-6</v>
      </c>
      <c r="H25">
        <v>5.2135283151159397</v>
      </c>
    </row>
    <row r="26" spans="1:8" x14ac:dyDescent="0.6">
      <c r="A26" t="s">
        <v>46</v>
      </c>
      <c r="B26">
        <v>64</v>
      </c>
      <c r="C26">
        <v>1</v>
      </c>
      <c r="D26">
        <v>1.0121E-2</v>
      </c>
      <c r="E26">
        <v>1.9947999999999999</v>
      </c>
      <c r="F26">
        <v>0</v>
      </c>
      <c r="G26">
        <v>5.55341956058093E-2</v>
      </c>
      <c r="H26">
        <v>1.2554395143607</v>
      </c>
    </row>
    <row r="27" spans="1:8" x14ac:dyDescent="0.6">
      <c r="A27" t="s">
        <v>36</v>
      </c>
      <c r="B27">
        <v>15</v>
      </c>
      <c r="C27">
        <v>4</v>
      </c>
      <c r="D27">
        <v>1.9707000000000001E-4</v>
      </c>
      <c r="E27">
        <v>3.7054</v>
      </c>
      <c r="F27">
        <v>0</v>
      </c>
      <c r="G27">
        <v>1.4914873381105E-3</v>
      </c>
      <c r="H27">
        <v>2.8263804292024099</v>
      </c>
    </row>
    <row r="28" spans="1:8" x14ac:dyDescent="0.6">
      <c r="A28" t="s">
        <v>20</v>
      </c>
      <c r="B28">
        <v>6</v>
      </c>
      <c r="C28">
        <v>1</v>
      </c>
      <c r="D28" s="1">
        <v>2.0903E-5</v>
      </c>
      <c r="E28">
        <v>4.6798000000000002</v>
      </c>
      <c r="F28">
        <v>0</v>
      </c>
      <c r="G28">
        <v>2.8673828938549401E-4</v>
      </c>
      <c r="H28">
        <v>3.5425143099885599</v>
      </c>
    </row>
    <row r="29" spans="1:8" x14ac:dyDescent="0.6">
      <c r="A29" t="s">
        <v>6</v>
      </c>
      <c r="B29">
        <v>26</v>
      </c>
      <c r="C29">
        <v>5</v>
      </c>
      <c r="D29" s="1">
        <v>2.5608999999999999E-6</v>
      </c>
      <c r="E29">
        <v>5.5915999999999997</v>
      </c>
      <c r="F29">
        <v>6.9309999999999997E-2</v>
      </c>
      <c r="G29" s="1">
        <v>6.2452116732829299E-5</v>
      </c>
      <c r="H29">
        <v>4.2044528371968397</v>
      </c>
    </row>
    <row r="30" spans="1:8" x14ac:dyDescent="0.6">
      <c r="A30" t="s">
        <v>31</v>
      </c>
      <c r="B30">
        <v>20</v>
      </c>
      <c r="C30">
        <v>4</v>
      </c>
      <c r="D30" s="1">
        <v>6.7903E-6</v>
      </c>
      <c r="E30">
        <v>5.1680999999999999</v>
      </c>
      <c r="F30">
        <v>6.7999999999999996E-3</v>
      </c>
      <c r="G30">
        <v>1.28518964615927E-4</v>
      </c>
      <c r="H30">
        <v>3.89103278190204</v>
      </c>
    </row>
    <row r="31" spans="1:8" x14ac:dyDescent="0.6">
      <c r="A31" t="s">
        <v>5</v>
      </c>
      <c r="B31">
        <v>10</v>
      </c>
      <c r="C31">
        <v>1</v>
      </c>
      <c r="D31">
        <v>1.6892999999999999E-3</v>
      </c>
      <c r="E31">
        <v>2.7723</v>
      </c>
      <c r="F31">
        <v>0.35714000000000001</v>
      </c>
      <c r="G31">
        <v>1.0020793441187999E-2</v>
      </c>
      <c r="H31">
        <v>1.9990978898972001</v>
      </c>
    </row>
    <row r="32" spans="1:8" x14ac:dyDescent="0.6">
      <c r="A32" t="s">
        <v>4</v>
      </c>
      <c r="B32">
        <v>4</v>
      </c>
      <c r="C32">
        <v>1</v>
      </c>
      <c r="D32">
        <v>1.6892999999999999E-3</v>
      </c>
      <c r="E32">
        <v>2.7723</v>
      </c>
      <c r="F32">
        <v>0.5</v>
      </c>
      <c r="G32">
        <v>1.0020793441187999E-2</v>
      </c>
      <c r="H32">
        <v>1.9990978898972001</v>
      </c>
    </row>
    <row r="33" spans="1:8" x14ac:dyDescent="0.6">
      <c r="A33" t="s">
        <v>42</v>
      </c>
      <c r="B33">
        <v>31</v>
      </c>
      <c r="C33">
        <v>4</v>
      </c>
      <c r="D33">
        <v>3.7400999999999998E-4</v>
      </c>
      <c r="E33">
        <v>3.4270999999999998</v>
      </c>
      <c r="F33">
        <v>0.17080999999999999</v>
      </c>
      <c r="G33">
        <v>2.5652534950262799E-3</v>
      </c>
      <c r="H33">
        <v>2.5908697120136202</v>
      </c>
    </row>
    <row r="34" spans="1:8" x14ac:dyDescent="0.6">
      <c r="A34" t="s">
        <v>14</v>
      </c>
      <c r="B34">
        <v>46</v>
      </c>
      <c r="C34">
        <v>9</v>
      </c>
      <c r="D34" s="1">
        <v>3.1787999999999999E-7</v>
      </c>
      <c r="E34">
        <v>6.4977</v>
      </c>
      <c r="F34">
        <v>0.17751</v>
      </c>
      <c r="G34" s="1">
        <v>2.3256213284819899E-5</v>
      </c>
      <c r="H34">
        <v>4.6334609982656803</v>
      </c>
    </row>
    <row r="35" spans="1:8" x14ac:dyDescent="0.6">
      <c r="A35" t="s">
        <v>21</v>
      </c>
      <c r="B35">
        <v>71</v>
      </c>
      <c r="C35">
        <v>6</v>
      </c>
      <c r="D35">
        <v>1.0274E-4</v>
      </c>
      <c r="E35">
        <v>3.9882</v>
      </c>
      <c r="F35">
        <v>8.3769999999999997E-2</v>
      </c>
      <c r="G35">
        <v>9.8601866913980191E-4</v>
      </c>
      <c r="H35">
        <v>3.0061148621098601</v>
      </c>
    </row>
    <row r="36" spans="1:8" x14ac:dyDescent="0.6">
      <c r="A36" t="s">
        <v>35</v>
      </c>
      <c r="B36">
        <v>39</v>
      </c>
      <c r="C36">
        <v>3</v>
      </c>
      <c r="D36" s="1">
        <v>3.7394000000000001E-5</v>
      </c>
      <c r="E36">
        <v>4.4272</v>
      </c>
      <c r="F36">
        <v>0.11389000000000001</v>
      </c>
      <c r="G36">
        <v>4.3196183245542297E-4</v>
      </c>
      <c r="H36">
        <v>3.3645546251440899</v>
      </c>
    </row>
    <row r="37" spans="1:8" x14ac:dyDescent="0.6">
      <c r="A37" t="s">
        <v>39</v>
      </c>
      <c r="B37">
        <v>23</v>
      </c>
      <c r="C37">
        <v>1</v>
      </c>
      <c r="D37">
        <v>0.10561</v>
      </c>
      <c r="E37">
        <v>0.97629999999999995</v>
      </c>
      <c r="F37">
        <v>7.9509999999999997E-2</v>
      </c>
      <c r="G37">
        <v>0.48290406069307401</v>
      </c>
      <c r="H37">
        <v>0.316139142644425</v>
      </c>
    </row>
    <row r="38" spans="1:8" x14ac:dyDescent="0.6">
      <c r="A38" t="s">
        <v>33</v>
      </c>
      <c r="B38">
        <v>16</v>
      </c>
      <c r="C38">
        <v>1</v>
      </c>
      <c r="D38" s="1">
        <v>5.7103000000000002E-6</v>
      </c>
      <c r="E38">
        <v>5.2432999999999996</v>
      </c>
      <c r="F38">
        <v>0.22753999999999999</v>
      </c>
      <c r="G38">
        <v>1.25330270592966E-4</v>
      </c>
      <c r="H38">
        <v>3.9019440226709401</v>
      </c>
    </row>
    <row r="39" spans="1:8" x14ac:dyDescent="0.6">
      <c r="A39" t="s">
        <v>16</v>
      </c>
      <c r="B39">
        <v>32</v>
      </c>
      <c r="C39">
        <v>3</v>
      </c>
      <c r="D39" s="1">
        <v>9.8161000000000008E-6</v>
      </c>
      <c r="E39">
        <v>5.0080999999999998</v>
      </c>
      <c r="F39">
        <v>0.14029</v>
      </c>
      <c r="G39">
        <v>1.6572677296593799E-4</v>
      </c>
      <c r="H39">
        <v>3.7806073261483899</v>
      </c>
    </row>
    <row r="40" spans="1:8" x14ac:dyDescent="0.6">
      <c r="A40" t="s">
        <v>51</v>
      </c>
      <c r="B40">
        <v>15</v>
      </c>
      <c r="C40">
        <v>1</v>
      </c>
      <c r="D40">
        <v>8.1449999999999995E-2</v>
      </c>
      <c r="E40">
        <v>1.0891</v>
      </c>
      <c r="F40">
        <v>8.7840000000000001E-2</v>
      </c>
      <c r="G40">
        <v>0.38862461881607901</v>
      </c>
      <c r="H40">
        <v>0.41046969092792102</v>
      </c>
    </row>
    <row r="41" spans="1:8" x14ac:dyDescent="0.6">
      <c r="A41" t="s">
        <v>26</v>
      </c>
      <c r="B41">
        <v>41</v>
      </c>
      <c r="C41">
        <v>5</v>
      </c>
      <c r="D41" s="1">
        <v>5.0078000000000001E-7</v>
      </c>
      <c r="E41">
        <v>6.3003999999999998</v>
      </c>
      <c r="F41">
        <v>0.12388</v>
      </c>
      <c r="G41" s="1">
        <v>2.74779315042755E-5</v>
      </c>
      <c r="H41">
        <v>4.5610159633916298</v>
      </c>
    </row>
    <row r="42" spans="1:8" x14ac:dyDescent="0.6">
      <c r="A42" t="s">
        <v>7</v>
      </c>
      <c r="B42">
        <v>79</v>
      </c>
      <c r="C42">
        <v>12</v>
      </c>
      <c r="D42" s="1">
        <v>1.3361E-6</v>
      </c>
      <c r="E42">
        <v>5.8742000000000001</v>
      </c>
      <c r="F42">
        <v>0.33101000000000003</v>
      </c>
      <c r="G42" s="1">
        <v>4.1892663767793603E-5</v>
      </c>
      <c r="H42">
        <v>4.3778620239101302</v>
      </c>
    </row>
    <row r="43" spans="1:8" x14ac:dyDescent="0.6">
      <c r="A43" t="s">
        <v>52</v>
      </c>
      <c r="B43">
        <v>8</v>
      </c>
      <c r="C43">
        <v>1</v>
      </c>
      <c r="D43">
        <v>1.9163000000000001E-4</v>
      </c>
      <c r="E43">
        <v>3.7174999999999998</v>
      </c>
      <c r="F43">
        <v>0</v>
      </c>
      <c r="G43">
        <v>1.4914873381105E-3</v>
      </c>
      <c r="H43">
        <v>2.8263804292024099</v>
      </c>
    </row>
    <row r="44" spans="1:8" x14ac:dyDescent="0.6">
      <c r="A44" t="s">
        <v>30</v>
      </c>
      <c r="B44">
        <v>18</v>
      </c>
      <c r="C44">
        <v>1</v>
      </c>
      <c r="D44">
        <v>5.4171999999999998E-4</v>
      </c>
      <c r="E44">
        <v>3.2662</v>
      </c>
      <c r="F44">
        <v>0</v>
      </c>
      <c r="G44">
        <v>3.6029478993367002E-3</v>
      </c>
      <c r="H44">
        <v>2.4433420179757301</v>
      </c>
    </row>
    <row r="45" spans="1:8" x14ac:dyDescent="0.6">
      <c r="A45" t="s">
        <v>34</v>
      </c>
      <c r="B45">
        <v>7</v>
      </c>
      <c r="C45">
        <v>1</v>
      </c>
      <c r="D45">
        <v>2.9080000000000002E-2</v>
      </c>
      <c r="E45">
        <v>1.5364</v>
      </c>
      <c r="F45">
        <v>0</v>
      </c>
      <c r="G45">
        <v>0.145057028879372</v>
      </c>
      <c r="H45">
        <v>0.83846122219006203</v>
      </c>
    </row>
    <row r="46" spans="1:8" x14ac:dyDescent="0.6">
      <c r="A46" t="s">
        <v>15</v>
      </c>
      <c r="B46">
        <v>41</v>
      </c>
      <c r="C46">
        <v>8</v>
      </c>
      <c r="D46" s="1">
        <v>2.3029999999999998E-6</v>
      </c>
      <c r="E46">
        <v>5.6376999999999997</v>
      </c>
      <c r="F46">
        <v>0.44886999999999999</v>
      </c>
      <c r="G46" s="1">
        <v>6.2452116732829299E-5</v>
      </c>
      <c r="H46">
        <v>4.2044528371968397</v>
      </c>
    </row>
    <row r="47" spans="1:8" x14ac:dyDescent="0.6">
      <c r="A47" t="s">
        <v>38</v>
      </c>
      <c r="B47">
        <v>42</v>
      </c>
      <c r="C47">
        <v>7</v>
      </c>
      <c r="D47">
        <v>9.3125E-4</v>
      </c>
      <c r="E47">
        <v>3.0308999999999999</v>
      </c>
      <c r="F47">
        <v>0.23671</v>
      </c>
      <c r="G47">
        <v>6.0115217233719003E-3</v>
      </c>
      <c r="H47">
        <v>2.2210155791767798</v>
      </c>
    </row>
    <row r="48" spans="1:8" x14ac:dyDescent="0.6">
      <c r="A48" t="s">
        <v>28</v>
      </c>
      <c r="B48">
        <v>8</v>
      </c>
      <c r="C48">
        <v>4</v>
      </c>
      <c r="D48">
        <v>1.3930999999999999E-4</v>
      </c>
      <c r="E48">
        <v>3.8559999999999999</v>
      </c>
      <c r="F48">
        <v>0</v>
      </c>
      <c r="G48">
        <v>1.1759964110942701E-3</v>
      </c>
      <c r="H48">
        <v>2.9295940036377202</v>
      </c>
    </row>
    <row r="49" spans="1:8" x14ac:dyDescent="0.6">
      <c r="A49" t="s">
        <v>32</v>
      </c>
      <c r="B49">
        <v>40</v>
      </c>
      <c r="C49">
        <v>4</v>
      </c>
      <c r="D49">
        <v>3.7382000000000001E-3</v>
      </c>
      <c r="E49">
        <v>2.4272999999999998</v>
      </c>
      <c r="F49">
        <v>0</v>
      </c>
      <c r="G49">
        <v>2.1591160641879201E-2</v>
      </c>
      <c r="H49">
        <v>1.6657240113565801</v>
      </c>
    </row>
    <row r="50" spans="1:8" x14ac:dyDescent="0.6">
      <c r="A50" t="s">
        <v>27</v>
      </c>
      <c r="B50">
        <v>9</v>
      </c>
      <c r="C50">
        <v>3</v>
      </c>
      <c r="D50">
        <v>1.0645E-4</v>
      </c>
      <c r="E50">
        <v>3.9729000000000001</v>
      </c>
      <c r="F50">
        <v>0.56862999999999997</v>
      </c>
      <c r="G50">
        <v>9.8601866913980191E-4</v>
      </c>
      <c r="H50">
        <v>3.0061148621098601</v>
      </c>
    </row>
  </sheetData>
  <autoFilter ref="A1:H50" xr:uid="{8E6A89DE-3EE1-42A8-9715-DE799BCF2DA5}">
    <sortState xmlns:xlrd2="http://schemas.microsoft.com/office/spreadsheetml/2017/richdata2" ref="A2:H50">
      <sortCondition ref="A1:A50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8A0C-D04C-4C89-970B-7698D56DF52E}">
  <dimension ref="A1:H17"/>
  <sheetViews>
    <sheetView zoomScale="80" zoomScaleNormal="80" workbookViewId="0"/>
  </sheetViews>
  <sheetFormatPr defaultRowHeight="16.899999999999999" x14ac:dyDescent="0.6"/>
  <cols>
    <col min="1" max="1" width="49.6875" bestFit="1" customWidth="1"/>
    <col min="2" max="2" width="13.0625" bestFit="1" customWidth="1"/>
    <col min="3" max="3" width="6.8125" bestFit="1" customWidth="1"/>
    <col min="4" max="4" width="11.5625" bestFit="1" customWidth="1"/>
    <col min="5" max="5" width="12.4375" bestFit="1" customWidth="1"/>
    <col min="6" max="6" width="9.3125" customWidth="1"/>
    <col min="7" max="7" width="14.1875" customWidth="1"/>
    <col min="8" max="8" width="16.9375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54</v>
      </c>
      <c r="E1" s="2" t="s">
        <v>53</v>
      </c>
      <c r="F1" t="s">
        <v>3</v>
      </c>
      <c r="G1" t="s">
        <v>55</v>
      </c>
      <c r="H1" s="2" t="s">
        <v>56</v>
      </c>
    </row>
    <row r="2" spans="1:8" x14ac:dyDescent="0.6">
      <c r="A2" t="s">
        <v>12</v>
      </c>
      <c r="B2">
        <v>36</v>
      </c>
      <c r="C2">
        <v>1</v>
      </c>
      <c r="D2" s="1">
        <v>6.4904000000000001E-5</v>
      </c>
      <c r="E2">
        <v>4.1877000000000004</v>
      </c>
      <c r="F2">
        <v>1.7440000000000001E-2</v>
      </c>
      <c r="G2">
        <v>5.0153790760350801E-4</v>
      </c>
      <c r="H2">
        <v>3.2996962362410698</v>
      </c>
    </row>
    <row r="3" spans="1:8" x14ac:dyDescent="0.6">
      <c r="A3" t="s">
        <v>23</v>
      </c>
      <c r="B3">
        <v>14</v>
      </c>
      <c r="C3">
        <v>2</v>
      </c>
      <c r="D3" s="1">
        <v>9.7471000000000002E-6</v>
      </c>
      <c r="E3">
        <v>5.0110999999999999</v>
      </c>
      <c r="F3">
        <v>0.23935999999999999</v>
      </c>
      <c r="G3" s="1">
        <v>9.9573737947237907E-5</v>
      </c>
      <c r="H3">
        <v>4.0018551893728</v>
      </c>
    </row>
    <row r="4" spans="1:8" x14ac:dyDescent="0.6">
      <c r="A4" t="s">
        <v>8</v>
      </c>
      <c r="B4">
        <v>33</v>
      </c>
      <c r="C4">
        <v>1</v>
      </c>
      <c r="D4">
        <v>1.2719000000000001E-3</v>
      </c>
      <c r="E4">
        <v>2.8956</v>
      </c>
      <c r="F4">
        <v>0.10446</v>
      </c>
      <c r="G4">
        <v>5.7332656086506104E-3</v>
      </c>
      <c r="H4">
        <v>2.2415979379219499</v>
      </c>
    </row>
    <row r="5" spans="1:8" x14ac:dyDescent="0.6">
      <c r="A5" t="s">
        <v>13</v>
      </c>
      <c r="B5">
        <v>30</v>
      </c>
      <c r="C5">
        <v>1</v>
      </c>
      <c r="D5">
        <v>2.8735000000000002E-4</v>
      </c>
      <c r="E5">
        <v>3.5415999999999999</v>
      </c>
      <c r="F5">
        <v>0</v>
      </c>
      <c r="G5">
        <v>1.72702662436329E-3</v>
      </c>
      <c r="H5">
        <v>2.7627009671662202</v>
      </c>
    </row>
    <row r="6" spans="1:8" x14ac:dyDescent="0.6">
      <c r="A6" t="s">
        <v>6</v>
      </c>
      <c r="B6">
        <v>26</v>
      </c>
      <c r="C6">
        <v>2</v>
      </c>
      <c r="D6">
        <v>1.0663999999999999E-3</v>
      </c>
      <c r="E6">
        <v>2.9721000000000002</v>
      </c>
      <c r="F6">
        <v>5.0770000000000003E-2</v>
      </c>
      <c r="G6">
        <v>5.2439409430973102E-3</v>
      </c>
      <c r="H6">
        <v>2.2803422079490399</v>
      </c>
    </row>
    <row r="7" spans="1:8" x14ac:dyDescent="0.6">
      <c r="A7" t="s">
        <v>31</v>
      </c>
      <c r="B7">
        <v>20</v>
      </c>
      <c r="C7">
        <v>1</v>
      </c>
      <c r="D7" s="1">
        <v>1.1045E-5</v>
      </c>
      <c r="E7">
        <v>4.9568000000000003</v>
      </c>
      <c r="F7">
        <v>0</v>
      </c>
      <c r="G7" s="1">
        <v>9.9573737947237907E-5</v>
      </c>
      <c r="H7">
        <v>4.0018551893728</v>
      </c>
    </row>
    <row r="8" spans="1:8" x14ac:dyDescent="0.6">
      <c r="A8" t="s">
        <v>5</v>
      </c>
      <c r="B8">
        <v>10</v>
      </c>
      <c r="C8">
        <v>1</v>
      </c>
      <c r="D8" s="1">
        <v>9.8094000000000005E-7</v>
      </c>
      <c r="E8">
        <v>6.0084</v>
      </c>
      <c r="F8">
        <v>0.35714000000000001</v>
      </c>
      <c r="G8" s="1">
        <v>2.65303383889444E-5</v>
      </c>
      <c r="H8">
        <v>4.5762572106466202</v>
      </c>
    </row>
    <row r="9" spans="1:8" x14ac:dyDescent="0.6">
      <c r="A9" t="s">
        <v>4</v>
      </c>
      <c r="B9">
        <v>4</v>
      </c>
      <c r="C9">
        <v>1</v>
      </c>
      <c r="D9" s="1">
        <v>9.8094000000000005E-7</v>
      </c>
      <c r="E9">
        <v>6.0084</v>
      </c>
      <c r="F9">
        <v>0.5</v>
      </c>
      <c r="G9" s="1">
        <v>2.65303383889444E-5</v>
      </c>
      <c r="H9">
        <v>4.5762572106466202</v>
      </c>
    </row>
    <row r="10" spans="1:8" x14ac:dyDescent="0.6">
      <c r="A10" t="s">
        <v>14</v>
      </c>
      <c r="B10">
        <v>46</v>
      </c>
      <c r="C10">
        <v>1</v>
      </c>
      <c r="D10" s="1">
        <v>3.1064E-6</v>
      </c>
      <c r="E10">
        <v>5.5076999999999998</v>
      </c>
      <c r="F10">
        <v>2.2849999999999999E-2</v>
      </c>
      <c r="G10" s="1">
        <v>4.2007586178266197E-5</v>
      </c>
      <c r="H10">
        <v>4.3766722729865801</v>
      </c>
    </row>
    <row r="11" spans="1:8" x14ac:dyDescent="0.6">
      <c r="A11" t="s">
        <v>21</v>
      </c>
      <c r="B11">
        <v>71</v>
      </c>
      <c r="C11">
        <v>3</v>
      </c>
      <c r="D11">
        <v>1.0648000000000001E-3</v>
      </c>
      <c r="E11">
        <v>2.9727999999999999</v>
      </c>
      <c r="F11">
        <v>2.0539999999999999E-2</v>
      </c>
      <c r="G11">
        <v>5.2439409430973102E-3</v>
      </c>
      <c r="H11">
        <v>2.2803422079490399</v>
      </c>
    </row>
    <row r="12" spans="1:8" x14ac:dyDescent="0.6">
      <c r="A12" t="s">
        <v>16</v>
      </c>
      <c r="B12">
        <v>32</v>
      </c>
      <c r="C12">
        <v>2</v>
      </c>
      <c r="D12">
        <v>1.9578999999999998E-3</v>
      </c>
      <c r="E12">
        <v>2.7082000000000002</v>
      </c>
      <c r="F12">
        <v>2.3130000000000001E-2</v>
      </c>
      <c r="G12">
        <v>8.1466206718068292E-3</v>
      </c>
      <c r="H12">
        <v>2.0890225051176698</v>
      </c>
    </row>
    <row r="13" spans="1:8" x14ac:dyDescent="0.6">
      <c r="A13" t="s">
        <v>52</v>
      </c>
      <c r="B13">
        <v>8</v>
      </c>
      <c r="C13">
        <v>1</v>
      </c>
      <c r="D13" s="1">
        <v>3.1064E-6</v>
      </c>
      <c r="E13">
        <v>5.5076999999999998</v>
      </c>
      <c r="F13">
        <v>0</v>
      </c>
      <c r="G13" s="1">
        <v>4.2007586178266197E-5</v>
      </c>
      <c r="H13">
        <v>4.3766722729865801</v>
      </c>
    </row>
    <row r="14" spans="1:8" x14ac:dyDescent="0.6">
      <c r="A14" t="s">
        <v>15</v>
      </c>
      <c r="B14">
        <v>41</v>
      </c>
      <c r="C14">
        <v>2</v>
      </c>
      <c r="D14">
        <v>1.9813E-4</v>
      </c>
      <c r="E14">
        <v>3.7031000000000001</v>
      </c>
      <c r="F14">
        <v>0.14305000000000001</v>
      </c>
      <c r="G14">
        <v>1.3396476708569199E-3</v>
      </c>
      <c r="H14">
        <v>2.8730094066519198</v>
      </c>
    </row>
    <row r="15" spans="1:8" x14ac:dyDescent="0.6">
      <c r="A15" t="s">
        <v>38</v>
      </c>
      <c r="B15">
        <v>42</v>
      </c>
      <c r="C15">
        <v>1</v>
      </c>
      <c r="D15">
        <v>2.4420000000000002E-3</v>
      </c>
      <c r="E15">
        <v>2.6122999999999998</v>
      </c>
      <c r="F15">
        <v>6.7400000000000003E-3</v>
      </c>
      <c r="G15">
        <v>9.4351316588173698E-3</v>
      </c>
      <c r="H15">
        <v>2.0252520352659902</v>
      </c>
    </row>
    <row r="16" spans="1:8" x14ac:dyDescent="0.6">
      <c r="A16" t="s">
        <v>28</v>
      </c>
      <c r="B16">
        <v>8</v>
      </c>
      <c r="C16">
        <v>3</v>
      </c>
      <c r="D16">
        <v>7.3445999999999997E-2</v>
      </c>
      <c r="E16">
        <v>1.1339999999999999</v>
      </c>
      <c r="F16">
        <v>0</v>
      </c>
      <c r="G16">
        <v>0.24830102163669701</v>
      </c>
      <c r="H16">
        <v>0.60502149353336498</v>
      </c>
    </row>
    <row r="17" spans="1:8" x14ac:dyDescent="0.6">
      <c r="A17" t="s">
        <v>32</v>
      </c>
      <c r="B17">
        <v>40</v>
      </c>
      <c r="C17">
        <v>3</v>
      </c>
      <c r="D17">
        <v>7.3445999999999997E-2</v>
      </c>
      <c r="E17">
        <v>1.1339999999999999</v>
      </c>
      <c r="F17">
        <v>0</v>
      </c>
      <c r="G17">
        <v>0.24830102163669701</v>
      </c>
      <c r="H17">
        <v>0.60502149353336498</v>
      </c>
    </row>
  </sheetData>
  <autoFilter ref="A1:H17" xr:uid="{219D8A0C-D04C-4C89-970B-7698D56DF52E}">
    <sortState xmlns:xlrd2="http://schemas.microsoft.com/office/spreadsheetml/2017/richdata2" ref="A2:H17">
      <sortCondition ref="A1:A17"/>
    </sortState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4F82-23B2-4FED-97A9-1A9F3E56BEBC}">
  <dimension ref="A1:K35"/>
  <sheetViews>
    <sheetView tabSelected="1" topLeftCell="A16" zoomScaleNormal="100" workbookViewId="0">
      <selection activeCell="A19" sqref="A19"/>
    </sheetView>
  </sheetViews>
  <sheetFormatPr defaultRowHeight="16.899999999999999" x14ac:dyDescent="0.6"/>
  <cols>
    <col min="1" max="1" width="9" style="4"/>
    <col min="2" max="2" width="42.625" style="4" bestFit="1" customWidth="1"/>
    <col min="3" max="3" width="7.5" style="4" bestFit="1" customWidth="1"/>
    <col min="4" max="4" width="9.25" style="4" bestFit="1" customWidth="1"/>
    <col min="5" max="5" width="6.4375" style="4" bestFit="1" customWidth="1"/>
    <col min="6" max="6" width="7.5" style="4" bestFit="1" customWidth="1"/>
    <col min="7" max="7" width="9.25" style="4" bestFit="1" customWidth="1"/>
    <col min="8" max="8" width="6.4375" style="4" bestFit="1" customWidth="1"/>
    <col min="9" max="9" width="7.5" style="4" bestFit="1" customWidth="1"/>
    <col min="10" max="10" width="9.25" style="4" bestFit="1" customWidth="1"/>
    <col min="11" max="11" width="6.4375" style="4" bestFit="1" customWidth="1"/>
    <col min="12" max="16384" width="9" style="4"/>
  </cols>
  <sheetData>
    <row r="1" spans="1:11" ht="17.25" thickBot="1" x14ac:dyDescent="0.6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7.649999999999999" thickTop="1" thickBot="1" x14ac:dyDescent="0.65">
      <c r="A2" s="3"/>
      <c r="B2" s="32" t="s">
        <v>0</v>
      </c>
      <c r="C2" s="29" t="s">
        <v>60</v>
      </c>
      <c r="D2" s="30"/>
      <c r="E2" s="31"/>
      <c r="F2" s="29" t="s">
        <v>61</v>
      </c>
      <c r="G2" s="30"/>
      <c r="H2" s="31"/>
      <c r="I2" s="29" t="s">
        <v>62</v>
      </c>
      <c r="J2" s="30"/>
      <c r="K2" s="30"/>
    </row>
    <row r="3" spans="1:11" ht="17.25" thickBot="1" x14ac:dyDescent="0.65">
      <c r="A3" s="3"/>
      <c r="B3" s="33"/>
      <c r="C3" s="5" t="s">
        <v>63</v>
      </c>
      <c r="D3" s="6" t="s">
        <v>64</v>
      </c>
      <c r="E3" s="7" t="s">
        <v>59</v>
      </c>
      <c r="F3" s="5" t="s">
        <v>63</v>
      </c>
      <c r="G3" s="6" t="s">
        <v>64</v>
      </c>
      <c r="H3" s="7" t="s">
        <v>59</v>
      </c>
      <c r="I3" s="5" t="s">
        <v>63</v>
      </c>
      <c r="J3" s="6" t="s">
        <v>64</v>
      </c>
      <c r="K3" s="6" t="s">
        <v>59</v>
      </c>
    </row>
    <row r="4" spans="1:11" x14ac:dyDescent="0.6">
      <c r="A4" s="3"/>
      <c r="B4" s="16" t="s">
        <v>5</v>
      </c>
      <c r="C4" s="8">
        <v>6.2231000000000002E-7</v>
      </c>
      <c r="D4" s="9">
        <v>6.4902048041165904E-5</v>
      </c>
      <c r="E4" s="10">
        <v>0.35714000000000001</v>
      </c>
      <c r="F4" s="8">
        <v>1.6892999999999999E-3</v>
      </c>
      <c r="G4" s="19">
        <v>1.0020793441187999E-2</v>
      </c>
      <c r="H4" s="10">
        <v>0.35714000000000001</v>
      </c>
      <c r="I4" s="8">
        <v>9.8094000000000005E-7</v>
      </c>
      <c r="J4" s="9">
        <v>2.65303383889444E-5</v>
      </c>
      <c r="K4" s="14">
        <v>0.35714000000000001</v>
      </c>
    </row>
    <row r="5" spans="1:11" x14ac:dyDescent="0.6">
      <c r="A5" s="3"/>
      <c r="B5" s="17" t="s">
        <v>4</v>
      </c>
      <c r="C5" s="8">
        <v>6.2231000000000002E-7</v>
      </c>
      <c r="D5" s="9">
        <v>6.4902048041165904E-5</v>
      </c>
      <c r="E5" s="10">
        <v>0.5</v>
      </c>
      <c r="F5" s="8">
        <v>1.6892999999999999E-3</v>
      </c>
      <c r="G5" s="19">
        <v>1.0020793441187999E-2</v>
      </c>
      <c r="H5" s="10">
        <v>0.5</v>
      </c>
      <c r="I5" s="8">
        <v>9.8094000000000005E-7</v>
      </c>
      <c r="J5" s="9">
        <v>2.65303383889444E-5</v>
      </c>
      <c r="K5" s="14">
        <v>0.5</v>
      </c>
    </row>
    <row r="6" spans="1:11" x14ac:dyDescent="0.6">
      <c r="A6" s="3"/>
      <c r="B6" s="17" t="s">
        <v>14</v>
      </c>
      <c r="C6" s="8">
        <v>4.9509999999999999E-5</v>
      </c>
      <c r="D6" s="9">
        <v>9.3881897461748102E-4</v>
      </c>
      <c r="E6" s="10">
        <v>0.15465999999999999</v>
      </c>
      <c r="F6" s="8">
        <v>3.1787999999999999E-7</v>
      </c>
      <c r="G6" s="9">
        <v>2.3256213284819899E-5</v>
      </c>
      <c r="H6" s="10">
        <v>0.17751</v>
      </c>
      <c r="I6" s="8">
        <v>3.1064E-6</v>
      </c>
      <c r="J6" s="9">
        <v>4.2007586178266197E-5</v>
      </c>
      <c r="K6" s="14">
        <v>2.2849999999999999E-2</v>
      </c>
    </row>
    <row r="7" spans="1:11" x14ac:dyDescent="0.6">
      <c r="A7" s="3"/>
      <c r="B7" s="17" t="s">
        <v>23</v>
      </c>
      <c r="C7" s="8">
        <v>1.7238999999999999E-4</v>
      </c>
      <c r="D7" s="9">
        <v>1.7978923786885299E-3</v>
      </c>
      <c r="E7" s="10">
        <v>0.20213</v>
      </c>
      <c r="F7" s="8">
        <v>1.228E-4</v>
      </c>
      <c r="G7" s="9">
        <v>1.0780909744718299E-3</v>
      </c>
      <c r="H7" s="10">
        <v>0.20213</v>
      </c>
      <c r="I7" s="8">
        <v>9.7471000000000002E-6</v>
      </c>
      <c r="J7" s="9">
        <v>9.9573737947237907E-5</v>
      </c>
      <c r="K7" s="14">
        <v>0.23935999999999999</v>
      </c>
    </row>
    <row r="8" spans="1:11" x14ac:dyDescent="0.6">
      <c r="A8" s="3"/>
      <c r="B8" s="17" t="s">
        <v>31</v>
      </c>
      <c r="C8" s="8">
        <v>9.8817000000000002E-4</v>
      </c>
      <c r="D8" s="9">
        <v>7.3613124387752202E-3</v>
      </c>
      <c r="E8" s="10">
        <v>6.7999999999999996E-3</v>
      </c>
      <c r="F8" s="8">
        <v>6.7903E-6</v>
      </c>
      <c r="G8" s="9">
        <v>1.28518964615927E-4</v>
      </c>
      <c r="H8" s="10">
        <v>6.7999999999999996E-3</v>
      </c>
      <c r="I8" s="8">
        <v>1.1045E-5</v>
      </c>
      <c r="J8" s="9">
        <v>9.9573737947237907E-5</v>
      </c>
      <c r="K8" s="14">
        <v>0</v>
      </c>
    </row>
    <row r="9" spans="1:11" x14ac:dyDescent="0.6">
      <c r="A9" s="3"/>
      <c r="B9" s="17" t="s">
        <v>12</v>
      </c>
      <c r="C9" s="8">
        <v>2.4414E-5</v>
      </c>
      <c r="D9" s="9">
        <v>5.6581967932274699E-4</v>
      </c>
      <c r="E9" s="10">
        <v>0.21279000000000001</v>
      </c>
      <c r="F9" s="8">
        <v>8.4289000000000005E-7</v>
      </c>
      <c r="G9" s="9">
        <v>3.6999678398720001E-5</v>
      </c>
      <c r="H9" s="10">
        <v>0.21279000000000001</v>
      </c>
      <c r="I9" s="8">
        <v>6.4904000000000001E-5</v>
      </c>
      <c r="J9" s="9">
        <v>5.0153790760350801E-4</v>
      </c>
      <c r="K9" s="14">
        <v>1.7440000000000001E-2</v>
      </c>
    </row>
    <row r="10" spans="1:11" x14ac:dyDescent="0.6">
      <c r="A10" s="3"/>
      <c r="B10" s="17" t="s">
        <v>15</v>
      </c>
      <c r="C10" s="8">
        <v>5.7349999999999998E-5</v>
      </c>
      <c r="D10" s="9">
        <v>9.9506630470651693E-4</v>
      </c>
      <c r="E10" s="10">
        <v>0.44886999999999999</v>
      </c>
      <c r="F10" s="8">
        <v>2.3029999999999998E-6</v>
      </c>
      <c r="G10" s="9">
        <v>6.2452116732829299E-5</v>
      </c>
      <c r="H10" s="10">
        <v>0.44886999999999999</v>
      </c>
      <c r="I10" s="8">
        <v>1.9813E-4</v>
      </c>
      <c r="J10" s="9">
        <v>1.3396476708569199E-3</v>
      </c>
      <c r="K10" s="14">
        <v>0.14305000000000001</v>
      </c>
    </row>
    <row r="11" spans="1:11" x14ac:dyDescent="0.6">
      <c r="A11" s="3"/>
      <c r="B11" s="17" t="s">
        <v>13</v>
      </c>
      <c r="C11" s="8">
        <v>3.4504E-5</v>
      </c>
      <c r="D11" s="9">
        <v>7.1969927065687102E-4</v>
      </c>
      <c r="E11" s="10">
        <v>3.2710000000000003E-2</v>
      </c>
      <c r="F11" s="8">
        <v>2.7866E-8</v>
      </c>
      <c r="G11" s="9">
        <v>6.1160592619365001E-6</v>
      </c>
      <c r="H11" s="10">
        <v>3.2710000000000003E-2</v>
      </c>
      <c r="I11" s="8">
        <v>2.8735000000000002E-4</v>
      </c>
      <c r="J11" s="9">
        <v>1.72702662436329E-3</v>
      </c>
      <c r="K11" s="14">
        <v>0</v>
      </c>
    </row>
    <row r="12" spans="1:11" x14ac:dyDescent="0.6">
      <c r="A12" s="3"/>
      <c r="B12" s="17" t="s">
        <v>21</v>
      </c>
      <c r="C12" s="8">
        <v>1.3909E-4</v>
      </c>
      <c r="D12" s="9">
        <v>1.61177724250432E-3</v>
      </c>
      <c r="E12" s="10">
        <v>5.5230000000000001E-2</v>
      </c>
      <c r="F12" s="8">
        <v>1.0274E-4</v>
      </c>
      <c r="G12" s="9">
        <v>9.8601866913980191E-4</v>
      </c>
      <c r="H12" s="10">
        <v>8.3769999999999997E-2</v>
      </c>
      <c r="I12" s="8">
        <v>1.0648000000000001E-3</v>
      </c>
      <c r="J12" s="9">
        <v>5.2439409430973102E-3</v>
      </c>
      <c r="K12" s="14">
        <v>2.0539999999999999E-2</v>
      </c>
    </row>
    <row r="13" spans="1:11" x14ac:dyDescent="0.6">
      <c r="A13" s="3"/>
      <c r="B13" s="17" t="s">
        <v>6</v>
      </c>
      <c r="C13" s="8">
        <v>1.0435E-6</v>
      </c>
      <c r="D13" s="9">
        <v>7.2552572545255204E-5</v>
      </c>
      <c r="E13" s="10">
        <v>6.9309999999999997E-2</v>
      </c>
      <c r="F13" s="8">
        <v>2.5608999999999999E-6</v>
      </c>
      <c r="G13" s="9">
        <v>6.2452116732829299E-5</v>
      </c>
      <c r="H13" s="10">
        <v>6.9309999999999997E-2</v>
      </c>
      <c r="I13" s="8">
        <v>1.0663999999999999E-3</v>
      </c>
      <c r="J13" s="9">
        <v>5.2439409430973102E-3</v>
      </c>
      <c r="K13" s="14">
        <v>5.0770000000000003E-2</v>
      </c>
    </row>
    <row r="14" spans="1:11" x14ac:dyDescent="0.6">
      <c r="A14" s="3"/>
      <c r="B14" s="17" t="s">
        <v>8</v>
      </c>
      <c r="C14" s="8">
        <v>4.8504000000000002E-6</v>
      </c>
      <c r="D14" s="9">
        <v>2.02343458288551E-4</v>
      </c>
      <c r="E14" s="10">
        <v>0.16808999999999999</v>
      </c>
      <c r="F14" s="8">
        <v>1.0781999999999999E-4</v>
      </c>
      <c r="G14" s="9">
        <v>9.8601866913980191E-4</v>
      </c>
      <c r="H14" s="10">
        <v>0.18898000000000001</v>
      </c>
      <c r="I14" s="8">
        <v>1.2719000000000001E-3</v>
      </c>
      <c r="J14" s="9">
        <v>5.7332656086506104E-3</v>
      </c>
      <c r="K14" s="14">
        <v>0.10446</v>
      </c>
    </row>
    <row r="15" spans="1:11" x14ac:dyDescent="0.6">
      <c r="A15" s="3"/>
      <c r="B15" s="17" t="s">
        <v>16</v>
      </c>
      <c r="C15" s="8">
        <v>6.3145999999999995E-5</v>
      </c>
      <c r="D15" s="9">
        <v>9.9506630470651693E-4</v>
      </c>
      <c r="E15" s="10">
        <v>0.14029</v>
      </c>
      <c r="F15" s="8">
        <v>9.8161000000000008E-6</v>
      </c>
      <c r="G15" s="9">
        <v>1.6572677296593799E-4</v>
      </c>
      <c r="H15" s="10">
        <v>0.14029</v>
      </c>
      <c r="I15" s="8">
        <v>1.9578999999999998E-3</v>
      </c>
      <c r="J15" s="9">
        <v>8.1466206718068292E-3</v>
      </c>
      <c r="K15" s="14">
        <v>2.3130000000000001E-2</v>
      </c>
    </row>
    <row r="16" spans="1:11" ht="17.25" thickBot="1" x14ac:dyDescent="0.65">
      <c r="A16" s="3"/>
      <c r="B16" s="18" t="s">
        <v>38</v>
      </c>
      <c r="C16" s="11">
        <v>3.1251E-3</v>
      </c>
      <c r="D16" s="20">
        <v>1.8624194219550399E-2</v>
      </c>
      <c r="E16" s="13">
        <v>0.11085</v>
      </c>
      <c r="F16" s="11">
        <v>9.3125E-4</v>
      </c>
      <c r="G16" s="12">
        <v>6.0115217233719003E-3</v>
      </c>
      <c r="H16" s="13">
        <v>0.23671</v>
      </c>
      <c r="I16" s="11">
        <v>2.4420000000000002E-3</v>
      </c>
      <c r="J16" s="12">
        <v>9.4351316588173698E-3</v>
      </c>
      <c r="K16" s="15">
        <v>6.7400000000000003E-3</v>
      </c>
    </row>
    <row r="17" spans="1:11" ht="17.25" thickTop="1" x14ac:dyDescent="0.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7.25" thickBot="1" x14ac:dyDescent="0.6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7.649999999999999" thickTop="1" thickBot="1" x14ac:dyDescent="0.65">
      <c r="A19" s="3"/>
      <c r="B19" s="32" t="s">
        <v>0</v>
      </c>
      <c r="C19" s="29" t="s">
        <v>60</v>
      </c>
      <c r="D19" s="30"/>
      <c r="E19" s="31"/>
      <c r="F19" s="29" t="s">
        <v>61</v>
      </c>
      <c r="G19" s="30"/>
      <c r="H19" s="31"/>
      <c r="I19" s="29" t="s">
        <v>62</v>
      </c>
      <c r="J19" s="30"/>
      <c r="K19" s="30"/>
    </row>
    <row r="20" spans="1:11" ht="17.25" thickBot="1" x14ac:dyDescent="0.65">
      <c r="A20" s="3"/>
      <c r="B20" s="33"/>
      <c r="C20" s="5" t="s">
        <v>63</v>
      </c>
      <c r="D20" s="6" t="s">
        <v>64</v>
      </c>
      <c r="E20" s="7" t="s">
        <v>59</v>
      </c>
      <c r="F20" s="5" t="s">
        <v>63</v>
      </c>
      <c r="G20" s="6" t="s">
        <v>64</v>
      </c>
      <c r="H20" s="7" t="s">
        <v>59</v>
      </c>
      <c r="I20" s="5" t="s">
        <v>63</v>
      </c>
      <c r="J20" s="6" t="s">
        <v>64</v>
      </c>
      <c r="K20" s="6" t="s">
        <v>59</v>
      </c>
    </row>
    <row r="21" spans="1:11" x14ac:dyDescent="0.6">
      <c r="A21" s="3"/>
      <c r="B21" s="26" t="s">
        <v>5</v>
      </c>
      <c r="C21" s="22" t="s">
        <v>66</v>
      </c>
      <c r="D21" s="23" t="s">
        <v>66</v>
      </c>
      <c r="E21" s="24">
        <v>0.35714000000000001</v>
      </c>
      <c r="F21" s="22" t="s">
        <v>69</v>
      </c>
      <c r="G21" s="27" t="s">
        <v>71</v>
      </c>
      <c r="H21" s="24">
        <v>0.35714000000000001</v>
      </c>
      <c r="I21" s="22" t="s">
        <v>66</v>
      </c>
      <c r="J21" s="23" t="s">
        <v>66</v>
      </c>
      <c r="K21" s="25">
        <v>0.35714000000000001</v>
      </c>
    </row>
    <row r="22" spans="1:11" x14ac:dyDescent="0.6">
      <c r="A22" s="3"/>
      <c r="B22" s="21" t="s">
        <v>4</v>
      </c>
      <c r="C22" s="22" t="s">
        <v>66</v>
      </c>
      <c r="D22" s="23" t="s">
        <v>66</v>
      </c>
      <c r="E22" s="24">
        <v>0.5</v>
      </c>
      <c r="F22" s="22" t="s">
        <v>69</v>
      </c>
      <c r="G22" s="27" t="s">
        <v>71</v>
      </c>
      <c r="H22" s="24">
        <v>0.5</v>
      </c>
      <c r="I22" s="22" t="s">
        <v>66</v>
      </c>
      <c r="J22" s="23" t="s">
        <v>66</v>
      </c>
      <c r="K22" s="25">
        <v>0.5</v>
      </c>
    </row>
    <row r="23" spans="1:11" x14ac:dyDescent="0.6">
      <c r="A23" s="3"/>
      <c r="B23" s="17" t="s">
        <v>14</v>
      </c>
      <c r="C23" s="8" t="s">
        <v>66</v>
      </c>
      <c r="D23" s="9" t="s">
        <v>68</v>
      </c>
      <c r="E23" s="10">
        <v>0.15465999999999999</v>
      </c>
      <c r="F23" s="8" t="s">
        <v>66</v>
      </c>
      <c r="G23" s="9" t="s">
        <v>66</v>
      </c>
      <c r="H23" s="10">
        <v>0.17751</v>
      </c>
      <c r="I23" s="8" t="s">
        <v>66</v>
      </c>
      <c r="J23" s="9" t="s">
        <v>66</v>
      </c>
      <c r="K23" s="14">
        <v>2.2849999999999999E-2</v>
      </c>
    </row>
    <row r="24" spans="1:11" x14ac:dyDescent="0.6">
      <c r="A24" s="3"/>
      <c r="B24" s="21" t="s">
        <v>23</v>
      </c>
      <c r="C24" s="22" t="s">
        <v>67</v>
      </c>
      <c r="D24" s="23" t="s">
        <v>70</v>
      </c>
      <c r="E24" s="24">
        <v>0.20213</v>
      </c>
      <c r="F24" s="22" t="s">
        <v>68</v>
      </c>
      <c r="G24" s="23" t="s">
        <v>69</v>
      </c>
      <c r="H24" s="24">
        <v>0.20213</v>
      </c>
      <c r="I24" s="22" t="s">
        <v>66</v>
      </c>
      <c r="J24" s="23" t="s">
        <v>66</v>
      </c>
      <c r="K24" s="25">
        <v>0.23935999999999999</v>
      </c>
    </row>
    <row r="25" spans="1:11" x14ac:dyDescent="0.6">
      <c r="A25" s="3"/>
      <c r="B25" s="17" t="s">
        <v>31</v>
      </c>
      <c r="C25" s="8" t="s">
        <v>67</v>
      </c>
      <c r="D25" s="9" t="s">
        <v>69</v>
      </c>
      <c r="E25" s="10">
        <v>6.7999999999999996E-3</v>
      </c>
      <c r="F25" s="8" t="s">
        <v>66</v>
      </c>
      <c r="G25" s="9" t="s">
        <v>67</v>
      </c>
      <c r="H25" s="10">
        <v>6.7999999999999996E-3</v>
      </c>
      <c r="I25" s="8" t="s">
        <v>66</v>
      </c>
      <c r="J25" s="9" t="s">
        <v>66</v>
      </c>
      <c r="K25" s="14">
        <v>0</v>
      </c>
    </row>
    <row r="26" spans="1:11" x14ac:dyDescent="0.6">
      <c r="A26" s="3"/>
      <c r="B26" s="17" t="s">
        <v>12</v>
      </c>
      <c r="C26" s="8" t="s">
        <v>66</v>
      </c>
      <c r="D26" s="9" t="s">
        <v>67</v>
      </c>
      <c r="E26" s="10">
        <v>0.21279000000000001</v>
      </c>
      <c r="F26" s="8" t="s">
        <v>66</v>
      </c>
      <c r="G26" s="9" t="s">
        <v>66</v>
      </c>
      <c r="H26" s="10">
        <v>0.21279000000000001</v>
      </c>
      <c r="I26" s="8" t="s">
        <v>66</v>
      </c>
      <c r="J26" s="9" t="s">
        <v>67</v>
      </c>
      <c r="K26" s="14">
        <v>1.7440000000000001E-2</v>
      </c>
    </row>
    <row r="27" spans="1:11" x14ac:dyDescent="0.6">
      <c r="A27" s="3"/>
      <c r="B27" s="21" t="s">
        <v>15</v>
      </c>
      <c r="C27" s="22" t="s">
        <v>66</v>
      </c>
      <c r="D27" s="23" t="s">
        <v>67</v>
      </c>
      <c r="E27" s="24">
        <v>0.44886999999999999</v>
      </c>
      <c r="F27" s="22" t="s">
        <v>66</v>
      </c>
      <c r="G27" s="23" t="s">
        <v>66</v>
      </c>
      <c r="H27" s="24">
        <v>0.44886999999999999</v>
      </c>
      <c r="I27" s="22" t="s">
        <v>67</v>
      </c>
      <c r="J27" s="23" t="s">
        <v>69</v>
      </c>
      <c r="K27" s="25">
        <v>0.14305000000000001</v>
      </c>
    </row>
    <row r="28" spans="1:11" x14ac:dyDescent="0.6">
      <c r="A28" s="3"/>
      <c r="B28" s="17" t="s">
        <v>13</v>
      </c>
      <c r="C28" s="8" t="s">
        <v>66</v>
      </c>
      <c r="D28" s="9" t="s">
        <v>67</v>
      </c>
      <c r="E28" s="10">
        <v>3.2710000000000003E-2</v>
      </c>
      <c r="F28" s="8" t="s">
        <v>66</v>
      </c>
      <c r="G28" s="9" t="s">
        <v>66</v>
      </c>
      <c r="H28" s="10">
        <v>3.2710000000000003E-2</v>
      </c>
      <c r="I28" s="8" t="s">
        <v>67</v>
      </c>
      <c r="J28" s="9" t="s">
        <v>69</v>
      </c>
      <c r="K28" s="14">
        <v>0</v>
      </c>
    </row>
    <row r="29" spans="1:11" x14ac:dyDescent="0.6">
      <c r="A29" s="3"/>
      <c r="B29" s="17" t="s">
        <v>21</v>
      </c>
      <c r="C29" s="8" t="s">
        <v>67</v>
      </c>
      <c r="D29" s="9" t="s">
        <v>69</v>
      </c>
      <c r="E29" s="10">
        <v>5.5230000000000001E-2</v>
      </c>
      <c r="F29" s="8" t="s">
        <v>67</v>
      </c>
      <c r="G29" s="9" t="s">
        <v>67</v>
      </c>
      <c r="H29" s="10">
        <v>8.3769999999999997E-2</v>
      </c>
      <c r="I29" s="8" t="s">
        <v>69</v>
      </c>
      <c r="J29" s="9" t="s">
        <v>69</v>
      </c>
      <c r="K29" s="14">
        <v>2.0539999999999999E-2</v>
      </c>
    </row>
    <row r="30" spans="1:11" x14ac:dyDescent="0.6">
      <c r="A30" s="3"/>
      <c r="B30" s="17" t="s">
        <v>6</v>
      </c>
      <c r="C30" s="8" t="s">
        <v>66</v>
      </c>
      <c r="D30" s="9" t="s">
        <v>66</v>
      </c>
      <c r="E30" s="10">
        <v>6.9309999999999997E-2</v>
      </c>
      <c r="F30" s="8" t="s">
        <v>66</v>
      </c>
      <c r="G30" s="9" t="s">
        <v>66</v>
      </c>
      <c r="H30" s="10">
        <v>6.9309999999999997E-2</v>
      </c>
      <c r="I30" s="8" t="s">
        <v>69</v>
      </c>
      <c r="J30" s="9" t="s">
        <v>69</v>
      </c>
      <c r="K30" s="14">
        <v>5.0770000000000003E-2</v>
      </c>
    </row>
    <row r="31" spans="1:11" x14ac:dyDescent="0.6">
      <c r="A31" s="3"/>
      <c r="B31" s="17" t="s">
        <v>8</v>
      </c>
      <c r="C31" s="8" t="s">
        <v>66</v>
      </c>
      <c r="D31" s="9" t="s">
        <v>67</v>
      </c>
      <c r="E31" s="10">
        <v>0.16808999999999999</v>
      </c>
      <c r="F31" s="8" t="s">
        <v>67</v>
      </c>
      <c r="G31" s="9" t="s">
        <v>67</v>
      </c>
      <c r="H31" s="10">
        <v>0.18898000000000001</v>
      </c>
      <c r="I31" s="8" t="s">
        <v>69</v>
      </c>
      <c r="J31" s="9" t="s">
        <v>69</v>
      </c>
      <c r="K31" s="14">
        <v>0.10446</v>
      </c>
    </row>
    <row r="32" spans="1:11" x14ac:dyDescent="0.6">
      <c r="A32" s="3"/>
      <c r="B32" s="17" t="s">
        <v>16</v>
      </c>
      <c r="C32" s="8" t="s">
        <v>66</v>
      </c>
      <c r="D32" s="9" t="s">
        <v>67</v>
      </c>
      <c r="E32" s="10">
        <v>0.14029</v>
      </c>
      <c r="F32" s="8" t="s">
        <v>66</v>
      </c>
      <c r="G32" s="9" t="s">
        <v>67</v>
      </c>
      <c r="H32" s="10">
        <v>0.14029</v>
      </c>
      <c r="I32" s="8" t="s">
        <v>69</v>
      </c>
      <c r="J32" s="9" t="s">
        <v>69</v>
      </c>
      <c r="K32" s="14">
        <v>2.3130000000000001E-2</v>
      </c>
    </row>
    <row r="33" spans="1:11" ht="17.25" thickBot="1" x14ac:dyDescent="0.65">
      <c r="A33" s="3"/>
      <c r="B33" s="18" t="s">
        <v>38</v>
      </c>
      <c r="C33" s="11" t="s">
        <v>69</v>
      </c>
      <c r="D33" s="20" t="s">
        <v>72</v>
      </c>
      <c r="E33" s="13">
        <v>0.11085</v>
      </c>
      <c r="F33" s="11" t="s">
        <v>67</v>
      </c>
      <c r="G33" s="12" t="s">
        <v>69</v>
      </c>
      <c r="H33" s="13">
        <v>0.23671</v>
      </c>
      <c r="I33" s="11" t="s">
        <v>69</v>
      </c>
      <c r="J33" s="12" t="s">
        <v>69</v>
      </c>
      <c r="K33" s="15">
        <v>6.7400000000000003E-3</v>
      </c>
    </row>
    <row r="34" spans="1:11" ht="3.85" customHeight="1" thickTop="1" x14ac:dyDescent="0.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6">
      <c r="A35" s="3"/>
      <c r="B35" s="28" t="s">
        <v>65</v>
      </c>
      <c r="C35" s="28"/>
      <c r="D35" s="28"/>
      <c r="E35" s="28"/>
      <c r="F35" s="28"/>
      <c r="G35" s="28"/>
      <c r="H35" s="28"/>
      <c r="I35" s="28"/>
      <c r="J35" s="28"/>
      <c r="K35" s="28"/>
    </row>
  </sheetData>
  <mergeCells count="9">
    <mergeCell ref="B35:K35"/>
    <mergeCell ref="C2:E2"/>
    <mergeCell ref="F2:H2"/>
    <mergeCell ref="I2:K2"/>
    <mergeCell ref="B2:B3"/>
    <mergeCell ref="B19:B20"/>
    <mergeCell ref="C19:E19"/>
    <mergeCell ref="F19:H19"/>
    <mergeCell ref="I19:K19"/>
  </mergeCells>
  <phoneticPr fontId="18" type="noConversion"/>
  <conditionalFormatting sqref="E4:E16">
    <cfRule type="colorScale" priority="6">
      <colorScale>
        <cfvo type="min"/>
        <cfvo type="max"/>
        <color rgb="FFFCFCFF"/>
        <color rgb="FF63BE7B"/>
      </colorScale>
    </cfRule>
  </conditionalFormatting>
  <conditionalFormatting sqref="E21:E33">
    <cfRule type="colorScale" priority="3">
      <colorScale>
        <cfvo type="min"/>
        <cfvo type="max"/>
        <color rgb="FFFCFCFF"/>
        <color rgb="FF63BE7B"/>
      </colorScale>
    </cfRule>
  </conditionalFormatting>
  <conditionalFormatting sqref="H4:H16">
    <cfRule type="colorScale" priority="5">
      <colorScale>
        <cfvo type="min"/>
        <cfvo type="max"/>
        <color rgb="FFFCFCFF"/>
        <color rgb="FF63BE7B"/>
      </colorScale>
    </cfRule>
  </conditionalFormatting>
  <conditionalFormatting sqref="H21:H33">
    <cfRule type="colorScale" priority="2">
      <colorScale>
        <cfvo type="min"/>
        <cfvo type="max"/>
        <color rgb="FFFCFCFF"/>
        <color rgb="FF63BE7B"/>
      </colorScale>
    </cfRule>
  </conditionalFormatting>
  <conditionalFormatting sqref="K4:K16">
    <cfRule type="colorScale" priority="4">
      <colorScale>
        <cfvo type="min"/>
        <cfvo type="max"/>
        <color rgb="FFFCFCFF"/>
        <color rgb="FF63BE7B"/>
      </colorScale>
    </cfRule>
  </conditionalFormatting>
  <conditionalFormatting sqref="K21:K3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fecal_pos_1w</vt:lpstr>
      <vt:lpstr>fecal_pos_2w</vt:lpstr>
      <vt:lpstr>serum_pos_2w</vt:lpstr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노태훈</dc:creator>
  <cp:lastModifiedBy>태훈 노</cp:lastModifiedBy>
  <dcterms:created xsi:type="dcterms:W3CDTF">2026-05-15T02:25:03Z</dcterms:created>
  <dcterms:modified xsi:type="dcterms:W3CDTF">2026-06-01T16:00:42Z</dcterms:modified>
</cp:coreProperties>
</file>